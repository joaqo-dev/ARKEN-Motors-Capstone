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Requerimientos" sheetId="1" state="visible" r:id="rId1"/>
    <sheet name="Resumen" sheetId="2" state="visible" r:id="rId2"/>
    <sheet name="Actores" sheetId="3" state="visible" r:id="rId3"/>
  </sheet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<sst xmlns="http://schemas.openxmlformats.org/spreadsheetml/2006/main" count="631" uniqueCount="631">
  <si>
    <t xml:space="preserve">Arken — Requerimientos funcionales</t>
  </si>
  <si>
    <t>Actores:</t>
  </si>
  <si>
    <t xml:space="preserve">AG: Admin General - Dueño de la automotora. Ve y gestiona todas sus sucursales.</t>
  </si>
  <si>
    <t xml:space="preserve">AS: Admin de Sucursal - Mismos permisos que el Admin General, acotado a su sucursal.</t>
  </si>
  <si>
    <t xml:space="preserve">VE: Vendedor - Acotado a su sucursal. No ve costos, márgenes ni gastos; no anula ni administra.</t>
  </si>
  <si>
    <t xml:space="preserve">VI: Visitante - Comprador o público general, anónimo, en el sitio público.</t>
  </si>
  <si>
    <t xml:space="preserve">CL: Cliente - Cliente de la automotora que recibe correos (no usa el sistema).</t>
  </si>
  <si>
    <t xml:space="preserve">SIS: Sistema - Procesos automáticos (tareas programadas, validaciones, cálculos).</t>
  </si>
  <si>
    <t>ID</t>
  </si>
  <si>
    <t>Módulo</t>
  </si>
  <si>
    <t>Submódulo</t>
  </si>
  <si>
    <t>Requerimiento</t>
  </si>
  <si>
    <t>Actor</t>
  </si>
  <si>
    <t>RF-01.01</t>
  </si>
  <si>
    <t xml:space="preserve">1. Registro de automotoras</t>
  </si>
  <si>
    <t>—</t>
  </si>
  <si>
    <t xml:space="preserve">El sistema debe ofrecer un formulario público para registrar una automotora nueva.</t>
  </si>
  <si>
    <t>VI</t>
  </si>
  <si>
    <t>RF-01.02</t>
  </si>
  <si>
    <t xml:space="preserve">El formulario debe solicitar los datos de la empresa: nombre, RUT, dirección, teléfono y correo.</t>
  </si>
  <si>
    <t>RF-01.03</t>
  </si>
  <si>
    <t xml:space="preserve">El formulario debe solicitar los datos del usuario inicial: nombre, correo y contraseña.</t>
  </si>
  <si>
    <t>RF-01.04</t>
  </si>
  <si>
    <t xml:space="preserve">El sistema debe permitir elegir el subdominio de la vitrina y validar en línea que esté disponible, que tenga un formato válido (sin espacios ni caracteres especiales) y que no sea una palabra reservada.</t>
  </si>
  <si>
    <t xml:space="preserve">VI, SIS</t>
  </si>
  <si>
    <t>RF-01.05</t>
  </si>
  <si>
    <t xml:space="preserve">El sistema debe validar el RUT de la empresa (dígito verificador) y darle formato automático mientras se escribe.</t>
  </si>
  <si>
    <t>SIS</t>
  </si>
  <si>
    <t>RF-01.06</t>
  </si>
  <si>
    <t xml:space="preserve">El registro debe crear, en una sola operación, la automotora, su sucursal principal (con la dirección y el teléfono ingresados) y el usuario inicial con rol Admin General.</t>
  </si>
  <si>
    <t>RF-01.07</t>
  </si>
  <si>
    <t xml:space="preserve">La automotora debe quedar activa de inmediato, sin aprobación manual de la plataforma, con su inventario vacío.</t>
  </si>
  <si>
    <t>RF-01.08</t>
  </si>
  <si>
    <t xml:space="preserve">El sistema debe enviar un correo de verificación al usuario inicial y bloquear su inicio de sesión hasta que verifique su correo.</t>
  </si>
  <si>
    <t>RF-01.09</t>
  </si>
  <si>
    <t xml:space="preserve">El subdominio no debe poder modificarse después del registro.</t>
  </si>
  <si>
    <t>RF-02.01</t>
  </si>
  <si>
    <t xml:space="preserve">2. Marketplace global</t>
  </si>
  <si>
    <t xml:space="preserve">El sitio público debe ser accesible sin registro ni inicio de sesión.</t>
  </si>
  <si>
    <t>RF-02.02</t>
  </si>
  <si>
    <t xml:space="preserve">La portada debe mostrar un buscador rápido por texto, marca, tipo de vehículo, región y precio máximo.</t>
  </si>
  <si>
    <t>RF-02.03</t>
  </si>
  <si>
    <t xml:space="preserve">La portada debe mostrar los vehículos recién publicados.</t>
  </si>
  <si>
    <t>RF-02.04</t>
  </si>
  <si>
    <t xml:space="preserve">La portada debe ofrecer accesos directos por marca, por tipo de vehículo (con foto) y por región, con la cantidad de vehículos de cada uno.</t>
  </si>
  <si>
    <t>RF-02.05</t>
  </si>
  <si>
    <t xml:space="preserve">La portada debe mostrar un directorio de automotoras con inventario publicado, con su logo, banner, comunas y cantidad de vehículos, enlazado a su vitrina.</t>
  </si>
  <si>
    <t>RF-02.06</t>
  </si>
  <si>
    <t xml:space="preserve">La portada debe invitar a las automotoras a registrarse en la plataforma.</t>
  </si>
  <si>
    <t>RF-02.07</t>
  </si>
  <si>
    <t xml:space="preserve">Las secciones de la portada sin datos no deben mostrarse.</t>
  </si>
  <si>
    <t>RF-02.08</t>
  </si>
  <si>
    <t xml:space="preserve">El sistema debe ofrecer una página de búsqueda con todos los vehículos publicados de todas las automotoras.</t>
  </si>
  <si>
    <t>RF-02.09</t>
  </si>
  <si>
    <t xml:space="preserve">La búsqueda debe permitir filtrar por texto libre, marca, modelo, tipo de vehículo, transmisión, región y comuna (de la sucursal donde está el vehículo).</t>
  </si>
  <si>
    <t>RF-02.10</t>
  </si>
  <si>
    <t xml:space="preserve">La búsqueda debe permitir filtrar por rangos de precio, año y kilometraje mediante barras con dos manillas y valores editables.</t>
  </si>
  <si>
    <t>RF-02.11</t>
  </si>
  <si>
    <t xml:space="preserve">Los filtros deben ser dinámicos: solo deben ofrecer opciones presentes en el inventario publicado actual.</t>
  </si>
  <si>
    <t>RF-02.12</t>
  </si>
  <si>
    <t xml:space="preserve">La búsqueda debe permitir ordenar por más recientes, precio, año y kilometraje.</t>
  </si>
  <si>
    <t>RF-02.13</t>
  </si>
  <si>
    <t xml:space="preserve">Los resultados deben paginarse con un máximo de 30 vehículos por página.</t>
  </si>
  <si>
    <t>RF-02.14</t>
  </si>
  <si>
    <t xml:space="preserve">La tarjeta de cada vehículo en el listado no debe mostrar la identidad de la automotora (solo visible al entrar al detalle).</t>
  </si>
  <si>
    <t>RF-02.15</t>
  </si>
  <si>
    <t xml:space="preserve">El sistema debe mostrar el detalle de un vehículo: galería de fotos, precio, ficha técnica (año, kilometraje, versión, tipo, transmisión, combustible, tracción, cilindrada, color) y descripción.</t>
  </si>
  <si>
    <t>RF-02.16</t>
  </si>
  <si>
    <t xml:space="preserve">El detalle debe mostrar la automotora y la sucursal donde está el vehículo (dirección, teléfono, horario) con un enlace a la vitrina de la automotora.</t>
  </si>
  <si>
    <t>RF-02.17</t>
  </si>
  <si>
    <t xml:space="preserve">El detalle debe ofrecer un botón de WhatsApp hacia la sucursal donde está el vehículo (o su teléfono si no tiene WhatsApp), con un mensaje prearmado sobre ese vehículo.</t>
  </si>
  <si>
    <t>RF-02.18</t>
  </si>
  <si>
    <t xml:space="preserve">En teléfonos, el detalle debe mostrar una barra fija con el precio y el botón de WhatsApp.</t>
  </si>
  <si>
    <t>RF-02.19</t>
  </si>
  <si>
    <t xml:space="preserve">La galería debe permitir ver las fotos a pantalla completa, navegar entre ellas con flechas, teclado, miniaturas o deslizando el dedo.</t>
  </si>
  <si>
    <t>RF-02.20</t>
  </si>
  <si>
    <t xml:space="preserve">Solo deben publicarse vehículos en estado Disponible ubicados en una sucursal activa.</t>
  </si>
  <si>
    <t>RF-02.21</t>
  </si>
  <si>
    <t xml:space="preserve">El sitio público nunca debe exponer datos internos: patente, costos, gastos, márgenes ni datos de consignación.</t>
  </si>
  <si>
    <t>RF-02.22</t>
  </si>
  <si>
    <t xml:space="preserve">El sitio público debe permitir elegir tema claro u oscuro y recordar la elección.</t>
  </si>
  <si>
    <t>RF-02.23</t>
  </si>
  <si>
    <t xml:space="preserve">En teléfonos y tablets, la cabecera debe ofrecer un menú con los enlaces de navegación.</t>
  </si>
  <si>
    <t>RF-02.24</t>
  </si>
  <si>
    <t xml:space="preserve">El detalle de un vehículo debe generar una vista previa al compartirlo (foto, precio, kilometraje y comuna) y no debe indexarse en buscadores.</t>
  </si>
  <si>
    <t>RF-03.01</t>
  </si>
  <si>
    <t xml:space="preserve">3. Vitrina (perfil público) de la automotora</t>
  </si>
  <si>
    <t xml:space="preserve">Cada automotora debe tener una vitrina pública en su propio subdominio (subdominio.dominio.cl), una sola por automotora aunque tenga varias sucursales.</t>
  </si>
  <si>
    <t>RF-03.02</t>
  </si>
  <si>
    <t xml:space="preserve">La vitrina debe mostrar el nombre, logo, banner y descripción de la automotora, la cantidad de vehículos disponibles y sus sucursales.</t>
  </si>
  <si>
    <t>RF-03.03</t>
  </si>
  <si>
    <t xml:space="preserve">La vitrina debe mostrar el inventario publicado de todas las sucursales de la automotora.</t>
  </si>
  <si>
    <t>RF-03.04</t>
  </si>
  <si>
    <t xml:space="preserve">La vitrina debe permitir filtrar por marca, modelo, tipo, transmisión y sucursal, y por rangos de precio, año y kilometraje, con opciones dinámicas.</t>
  </si>
  <si>
    <t>RF-03.05</t>
  </si>
  <si>
    <t xml:space="preserve">La vitrina debe mostrar la sección "Encuéntranos" con cada sucursal: dirección, mapa, teléfono, WhatsApp, horario de atención y enlace "Cómo llegar".</t>
  </si>
  <si>
    <t>RF-03.06</t>
  </si>
  <si>
    <t xml:space="preserve">Los teléfonos deben mostrarse con el formato +56 9 1234 5678.</t>
  </si>
  <si>
    <t>RF-03.07</t>
  </si>
  <si>
    <t xml:space="preserve">La vitrina debe ofrecer un botón de contacto por WhatsApp.</t>
  </si>
  <si>
    <t>RF-03.08</t>
  </si>
  <si>
    <t xml:space="preserve">La vitrina debe ofrecer un formulario de contacto (nombre, correo, teléfono opcional, sucursal de interés y mensaje) que envíe un correo a la automotora con respuesta dirigida al visitante.</t>
  </si>
  <si>
    <t>RF-03.09</t>
  </si>
  <si>
    <t xml:space="preserve">El formulario de contacto debe validar los campos, limitar la cantidad de envíos por IP y descartar envíos de bots (campo trampa). Los mensajes no se guardan en la base de datos.</t>
  </si>
  <si>
    <t>RF-03.10</t>
  </si>
  <si>
    <t xml:space="preserve">La vitrina debe tener un diseño estándar de la plataforma, personalizable solo con logo, banner y descripción.</t>
  </si>
  <si>
    <t>RF-03.11</t>
  </si>
  <si>
    <t xml:space="preserve">La vitrina debe permitir elegir tema claro u oscuro.</t>
  </si>
  <si>
    <t>RF-03.12</t>
  </si>
  <si>
    <t xml:space="preserve">La vitrina debe tener un título para buscadores del tipo "Nombre | Automotora en [comunas de sus sucursales]" y una descripción tomada de la automotora (recortada a 160 caracteres) o generada a partir de sus sucursales.</t>
  </si>
  <si>
    <t>RF-03.13</t>
  </si>
  <si>
    <t xml:space="preserve">La vitrina debe declarar una única URL oficial (canónica) sin filtros; con filtros aplicados no debe indexarse por separado.</t>
  </si>
  <si>
    <t>RF-03.14</t>
  </si>
  <si>
    <t xml:space="preserve">La vitrina debe incluir datos estructurados para buscadores (schema.org AutoDealer) con nombre, logo, correo, teléfono, dirección de la casa matriz y las demás sucursales.</t>
  </si>
  <si>
    <t>RF-03.15</t>
  </si>
  <si>
    <t xml:space="preserve">La vitrina debe generar una vista previa al compartirla (banner o logo) y usar el logo de la automotora como ícono de la pestaña.</t>
  </si>
  <si>
    <t>RF-03.16</t>
  </si>
  <si>
    <t xml:space="preserve">El sistema debe publicar un sitemap.xml con la portada del marketplace y todas las vitrinas (de automotoras con al menos una sucursal activa), actualizado automáticamente.</t>
  </si>
  <si>
    <t>RF-03.17</t>
  </si>
  <si>
    <t xml:space="preserve">El sistema debe publicar un robots.txt que bloquee las páginas no públicas (baja de recordatorios) y apunte al mapa del sitio.</t>
  </si>
  <si>
    <t>RF-03.18</t>
  </si>
  <si>
    <t xml:space="preserve">Las páginas de búsqueda y de detalle de vehículos no deben indexarse en buscadores, pero sus enlaces sí deben seguirse.</t>
  </si>
  <si>
    <t>RF-04.01</t>
  </si>
  <si>
    <t xml:space="preserve">4. Sucursales</t>
  </si>
  <si>
    <t xml:space="preserve">El sistema debe permitir crear sucursales con nombre, dirección, región, comuna, teléfono, WhatsApp (opcional), encargado (opcional) y horario de atención (opcional).</t>
  </si>
  <si>
    <t>AG</t>
  </si>
  <si>
    <t>RF-04.02</t>
  </si>
  <si>
    <t xml:space="preserve">El sistema debe permitir editar los datos de una sucursal.</t>
  </si>
  <si>
    <t>RF-04.03</t>
  </si>
  <si>
    <t xml:space="preserve">El sistema debe permitir dar de baja una sucursal (baja lógica), conservando su historial.</t>
  </si>
  <si>
    <t>RF-04.04</t>
  </si>
  <si>
    <t xml:space="preserve">El sistema debe impedir dar de baja la sucursal principal.</t>
  </si>
  <si>
    <t>RF-04.05</t>
  </si>
  <si>
    <t xml:space="preserve">El sistema debe impedir dar de baja una sucursal con vehículos en inventario o usuarios activos asignados.</t>
  </si>
  <si>
    <t>RF-04.06</t>
  </si>
  <si>
    <t xml:space="preserve">Las sucursales dadas de baja no deben aparecer en listados ni selectores, ni poder recibir usuarios.</t>
  </si>
  <si>
    <t>RF-04.07</t>
  </si>
  <si>
    <t xml:space="preserve">El sistema debe permitir transferir un vehículo a otra sucursal, registrando origen y destino en su bitácora.</t>
  </si>
  <si>
    <t>RF-04.08</t>
  </si>
  <si>
    <t xml:space="preserve">La transferencia no debe modificar la sucursal de las ventas, gastos, cotizaciones, reservas y tasaciones ya registradas.</t>
  </si>
  <si>
    <t>RF-04.09</t>
  </si>
  <si>
    <t xml:space="preserve">El sistema debe validar el formato del WhatsApp de la sucursal (celular chileno) y usarlo como destino de los botones de WhatsApp de sus vehículos.</t>
  </si>
  <si>
    <t>RF-05.01</t>
  </si>
  <si>
    <t xml:space="preserve">5. Usuarios, roles y autenticación</t>
  </si>
  <si>
    <t xml:space="preserve">5.1 Roles y permisos</t>
  </si>
  <si>
    <t xml:space="preserve">El sistema debe manejar tres roles fijos, no configurables: Admin General, Admin de Sucursal y Vendedor.</t>
  </si>
  <si>
    <t>RF-05.02</t>
  </si>
  <si>
    <t xml:space="preserve">El Admin General debe acceder a toda la automotora (todas las sucursales).</t>
  </si>
  <si>
    <t>RF-05.03</t>
  </si>
  <si>
    <t xml:space="preserve">El Admin de Sucursal y el Vendedor deben acceder solo a los datos de su sucursal asignada.</t>
  </si>
  <si>
    <t xml:space="preserve">AS, VE</t>
  </si>
  <si>
    <t>RF-05.04</t>
  </si>
  <si>
    <t xml:space="preserve">El Vendedor no debe ver costos de adquisición, márgenes, gastos, balance de vehículos ni comisiones de consignación.</t>
  </si>
  <si>
    <t>RF-05.05</t>
  </si>
  <si>
    <t xml:space="preserve">El Vendedor no debe administrar usuarios, sucursales, configuración, gastos ni auditoría, ni anular ventas o cancelar reservas.</t>
  </si>
  <si>
    <t>RF-05.06</t>
  </si>
  <si>
    <t xml:space="preserve">Una automotora debe poder tener más de un Admin General.</t>
  </si>
  <si>
    <t>RF-05.07</t>
  </si>
  <si>
    <t xml:space="preserve">Todo usuario que no sea Admin General debe tener una sucursal asignada.</t>
  </si>
  <si>
    <t>RF-05.08</t>
  </si>
  <si>
    <t xml:space="preserve">5.2 Gestión de usuarios</t>
  </si>
  <si>
    <t xml:space="preserve">El sistema debe permitir invitar usuarios indicando nombre, correo, rol y sucursal (el Admin de Sucursal solo para su sucursal).</t>
  </si>
  <si>
    <t xml:space="preserve">AG, AS</t>
  </si>
  <si>
    <t>RF-05.09</t>
  </si>
  <si>
    <t xml:space="preserve">El sistema debe enviar una invitación por correo para que el usuario invitado defina su propia contraseña (válida por 48 horas).</t>
  </si>
  <si>
    <t>RF-05.10</t>
  </si>
  <si>
    <t xml:space="preserve">El sistema debe permitir reenviar una invitación pendiente.</t>
  </si>
  <si>
    <t>RF-05.11</t>
  </si>
  <si>
    <t xml:space="preserve">El sistema debe permitir editar los datos, el rol y la sucursal de un usuario.</t>
  </si>
  <si>
    <t>RF-05.12</t>
  </si>
  <si>
    <t xml:space="preserve">El sistema debe permitir desactivar y reactivar usuarios (baja lógica), conservando su historial.</t>
  </si>
  <si>
    <t>RF-05.13</t>
  </si>
  <si>
    <t xml:space="preserve">Al desactivar un usuario, el sistema debe cerrar inmediatamente todas sus sesiones activas.</t>
  </si>
  <si>
    <t>RF-05.14</t>
  </si>
  <si>
    <t xml:space="preserve">El listado de usuarios debe permitir buscar por nombre o correo, filtrar por rol, estado y sucursal, y ordenar por nombre, rol y sucursal.</t>
  </si>
  <si>
    <t>RF-05.15</t>
  </si>
  <si>
    <t xml:space="preserve">El listado debe indicar los usuarios con invitación pendiente.</t>
  </si>
  <si>
    <t>RF-05.16</t>
  </si>
  <si>
    <t xml:space="preserve">5.3 Autenticación</t>
  </si>
  <si>
    <t xml:space="preserve">El sistema debe permitir iniciar sesión con correo y contraseña.</t>
  </si>
  <si>
    <t>Todos</t>
  </si>
  <si>
    <t>RF-05.17</t>
  </si>
  <si>
    <t xml:space="preserve">El inicio de sesión debe rechazarse con un mensaje genérico si las credenciales son incorrectas, el usuario está inactivo o su correo no está verificado.</t>
  </si>
  <si>
    <t>RF-05.18</t>
  </si>
  <si>
    <t xml:space="preserve">El sistema debe verificar el correo mediante un enlace de un solo uso válido por 24 horas, y permitir reenviarlo si expiró.</t>
  </si>
  <si>
    <t>RF-05.19</t>
  </si>
  <si>
    <t xml:space="preserve">La sesión debe renovarse automáticamente mientras el usuario esté activo, sin pedir de nuevo la contraseña.</t>
  </si>
  <si>
    <t>RF-05.20</t>
  </si>
  <si>
    <t xml:space="preserve">El sistema debe permitir cerrar sesión.</t>
  </si>
  <si>
    <t>RF-05.21</t>
  </si>
  <si>
    <t xml:space="preserve">El sistema debe permitir solicitar la recuperación de contraseña por correo, respondiendo siempre lo mismo exista o no la cuenta.</t>
  </si>
  <si>
    <t>RF-05.22</t>
  </si>
  <si>
    <t xml:space="preserve">El sistema debe permitir definir una nueva contraseña mediante un enlace de un solo uso válido por 1 hora, y cerrar todas las sesiones del usuario al hacerlo.</t>
  </si>
  <si>
    <t>RF-05.23</t>
  </si>
  <si>
    <t xml:space="preserve">El sistema debe exigir una contraseña con una fortaleza mínima.</t>
  </si>
  <si>
    <t>RF-05.24</t>
  </si>
  <si>
    <t xml:space="preserve">Cuando la sesión no se pueda renovar, el sistema debe llevar al usuario a la pantalla de inicio de sesión.</t>
  </si>
  <si>
    <t>RF-06.01</t>
  </si>
  <si>
    <t xml:space="preserve">6. Clientes (CRM)</t>
  </si>
  <si>
    <t xml:space="preserve">El sistema debe permitir registrar clientes con nombre, RUT, teléfono, correo y dirección.</t>
  </si>
  <si>
    <t>RF-06.02</t>
  </si>
  <si>
    <t xml:space="preserve">El sistema debe permitir editar los datos de un cliente.</t>
  </si>
  <si>
    <t>RF-06.03</t>
  </si>
  <si>
    <t xml:space="preserve">El sistema debe dar formato automático al RUT mientras se escribe (12.345.678-5), validar su dígito verificador y guardarlo normalizado.</t>
  </si>
  <si>
    <t>RF-06.04</t>
  </si>
  <si>
    <t xml:space="preserve">El sistema debe impedir dos clientes con el mismo RUT dentro de la misma automotora.</t>
  </si>
  <si>
    <t>RF-06.05</t>
  </si>
  <si>
    <t xml:space="preserve">Cada cliente debe tener una ficha única para toda la automotora, aunque cumpla varios roles (comprador, consignante, vendedor particular).</t>
  </si>
  <si>
    <t>RF-06.06</t>
  </si>
  <si>
    <t xml:space="preserve">El sistema debe permitir desactivar y reactivar clientes (baja lógica).</t>
  </si>
  <si>
    <t>RF-06.07</t>
  </si>
  <si>
    <t xml:space="preserve">La ficha del cliente debe mostrar su historial completo: cotizaciones, reservas, tasaciones, ventas y consignaciones de todas las sucursales, con enlace a cada documento.</t>
  </si>
  <si>
    <t>RF-06.08</t>
  </si>
  <si>
    <t xml:space="preserve">El listado de clientes debe permitir buscar por nombre o RUT e incluir los inactivos de forma opcional.</t>
  </si>
  <si>
    <t>RF-06.09</t>
  </si>
  <si>
    <t xml:space="preserve">El sistema debe permitir buscar y seleccionar un cliente (o crearlo en el momento) al emitir cotizaciones, reservas, tasaciones, ventas y consignaciones.</t>
  </si>
  <si>
    <t>RF-06.10</t>
  </si>
  <si>
    <t xml:space="preserve">La ficha del cliente debe mostrar si recibe recordatorios por correo y permitir desactivarlos o volver a activarlos.</t>
  </si>
  <si>
    <t>RF-07.01</t>
  </si>
  <si>
    <t xml:space="preserve">7. Vehículos e inventario</t>
  </si>
  <si>
    <t xml:space="preserve">7.1 Ficha y alta</t>
  </si>
  <si>
    <t xml:space="preserve">El sistema debe permitir dar de alta un vehículo con marca, modelo, versión, año, kilometraje, color, combustible, transmisión, tracción, cilindrada, patente, tipo, descripción y precio de venta.</t>
  </si>
  <si>
    <t>RF-07.02</t>
  </si>
  <si>
    <t xml:space="preserve">Los tipos de vehículo deben incluir SUV, sedán, hatchback, camioneta, camión, moto y otro.</t>
  </si>
  <si>
    <t>RF-07.03</t>
  </si>
  <si>
    <t xml:space="preserve">Para las motos, el sistema no debe pedir la tracción y debe exigirla en los demás tipos.</t>
  </si>
  <si>
    <t>RF-07.04</t>
  </si>
  <si>
    <t xml:space="preserve">El sistema debe validar el formato de la patente chilena (autos y motos) y guardarla normalizada.</t>
  </si>
  <si>
    <t>RF-07.05</t>
  </si>
  <si>
    <t xml:space="preserve">El sistema debe normalizar marca y modelo al guardarlos (mayúscula inicial, siglas y palabras con números en mayúsculas), también en tasaciones y autos recibidos en parte de pago.</t>
  </si>
  <si>
    <t>RF-07.06</t>
  </si>
  <si>
    <t xml:space="preserve">El sistema debe impedir dos vehículos con la misma patente dentro del inventario de una automotora; un vehículo vendido o dado de baja puede volver a ingresar como un registro nuevo.</t>
  </si>
  <si>
    <t>RF-07.07</t>
  </si>
  <si>
    <t xml:space="preserve">El sistema debe registrar el origen del vehículo: compra directa, consignación, parte de pago o compra a particular.</t>
  </si>
  <si>
    <t>RF-07.08</t>
  </si>
  <si>
    <t xml:space="preserve">En compra directa, el sistema debe registrar el precio de compra y la fecha de ingreso; el Vendedor puede ingresar el precio al dar de alta, pero no verlo ni editarlo después.</t>
  </si>
  <si>
    <t>RF-07.09</t>
  </si>
  <si>
    <t xml:space="preserve">En compra a particular, el vehículo debe crearse a partir de una tasación aceptada, sin vehículo previo y con la misma patente.</t>
  </si>
  <si>
    <t>RF-07.10</t>
  </si>
  <si>
    <t xml:space="preserve">El vehículo debe asignarse a la sucursal del usuario (AS, VE) o a la sucursal elegida por el Admin General.</t>
  </si>
  <si>
    <t>RF-07.11</t>
  </si>
  <si>
    <t xml:space="preserve">Todo vehículo nuevo debe nacer En preparación (salvo el recibido en parte de pago, que nace Pendiente de revisión).</t>
  </si>
  <si>
    <t>RF-07.12</t>
  </si>
  <si>
    <t xml:space="preserve">Al ingresar la patente, el sistema debe sugerir la fecha de vencimiento de la revisión técnica según su último dígito.</t>
  </si>
  <si>
    <t>RF-07.13</t>
  </si>
  <si>
    <t xml:space="preserve">El sistema debe permitir editar la ficha de un vehículo que no esté vendido.</t>
  </si>
  <si>
    <t>RF-07.14</t>
  </si>
  <si>
    <t xml:space="preserve">El sistema debe permitir editar el precio de venta y (solo administradores, y nunca en consignados) el costo de adquisición, registrando el cambio de precio en la bitácora y la auditoría.</t>
  </si>
  <si>
    <t xml:space="preserve">Todos / AG, AS</t>
  </si>
  <si>
    <t>RF-07.15</t>
  </si>
  <si>
    <t xml:space="preserve">7.2 Estados</t>
  </si>
  <si>
    <t xml:space="preserve">El vehículo debe tener uno de estos estados: En preparación, Disponible (publicado), Reservado, Pendiente de revisión, Vendido, Dado de baja.</t>
  </si>
  <si>
    <t>RF-07.16</t>
  </si>
  <si>
    <t xml:space="preserve">El sistema debe permitir cambiar a mano el estado a Disponible, En preparación o Dado de baja.</t>
  </si>
  <si>
    <t>RF-07.17</t>
  </si>
  <si>
    <t xml:space="preserve">Los estados Reservado y Vendido solo deben fijarse desde Reservas y Ventas; un vehículo reservado o vendido no debe cambiar de estado a mano.</t>
  </si>
  <si>
    <t>RF-07.18</t>
  </si>
  <si>
    <t xml:space="preserve">El sistema debe impedir publicar (Disponible) un vehículo sin al menos una foto, y eliminar su última foto mientras esté publicado.</t>
  </si>
  <si>
    <t>RF-07.19</t>
  </si>
  <si>
    <t xml:space="preserve">El sistema debe permitir reactivar un vehículo dado de baja, validando que su patente no esté ya en inventario (salvo los devueltos al consignante).</t>
  </si>
  <si>
    <t>RF-07.20</t>
  </si>
  <si>
    <t xml:space="preserve">7.3 Fotos y documentos legales</t>
  </si>
  <si>
    <t xml:space="preserve">El sistema debe permitir subir entre 1 y 30 fotos por vehículo, en JPG, PNG, WebP, HEIC/HEIF (iPhone) o AVIF, de hasta 12 MB cada una.</t>
  </si>
  <si>
    <t>RF-07.21</t>
  </si>
  <si>
    <t xml:space="preserve">El sistema debe convertir toda foto a WebP, enderezarla según su orientación, acotar su tamaño y quitarle los metadatos (incluida la ubicación GPS).</t>
  </si>
  <si>
    <t>RF-07.22</t>
  </si>
  <si>
    <t xml:space="preserve">El sistema debe permitir reordenar las fotos; la primera es la portada.</t>
  </si>
  <si>
    <t>RF-07.23</t>
  </si>
  <si>
    <t xml:space="preserve">El sistema debe permitir eliminar fotos.</t>
  </si>
  <si>
    <t>RF-07.24</t>
  </si>
  <si>
    <t xml:space="preserve">El sistema debe permitir ver las fotos a pantalla completa en el panel.</t>
  </si>
  <si>
    <t>RF-07.25</t>
  </si>
  <si>
    <t xml:space="preserve">El sistema debe permitir cargar los documentos legales del vehículo (permiso de circulación, revisión técnica y SOAP) con su archivo (PDF o imagen, incluida HEIC) y fecha de vencimiento.</t>
  </si>
  <si>
    <t>RF-07.26</t>
  </si>
  <si>
    <t xml:space="preserve">El sistema debe permitir renovar un documento legal, conservando el anterior como historial.</t>
  </si>
  <si>
    <t>RF-07.27</t>
  </si>
  <si>
    <t xml:space="preserve">Los documentos legales deben descargarse solo con sesión y dentro del alcance del usuario.</t>
  </si>
  <si>
    <t>RF-07.28</t>
  </si>
  <si>
    <t xml:space="preserve">7.4 Consulta</t>
  </si>
  <si>
    <t xml:space="preserve">El listado de vehículos debe separarse en pestañas: En inventario (por defecto), Vendidos y Dados de baja.</t>
  </si>
  <si>
    <t>RF-07.29</t>
  </si>
  <si>
    <t xml:space="preserve">El listado debe permitir buscar por marca, modelo, versión o patente, y filtrar por estado (en inventario) y origen.</t>
  </si>
  <si>
    <t>RF-07.30</t>
  </si>
  <si>
    <t xml:space="preserve">El listado debe permitir ordenar por estado, precio, días en stock y (solo administradores) costo, y recordar el orden elegido durante la sesión.</t>
  </si>
  <si>
    <t>RF-07.31</t>
  </si>
  <si>
    <t xml:space="preserve">El listado debe mostrar la foto de portada, patente, sucursal, estado, precio, costo (solo administradores) y días en stock.</t>
  </si>
  <si>
    <t>RF-07.32</t>
  </si>
  <si>
    <t xml:space="preserve">La ficha del vehículo debe organizarse en pestañas: Resumen, Fotos, Documentos, Gastos, Balance y Bitácora (Gastos y Balance solo para administradores).</t>
  </si>
  <si>
    <t>RF-07.33</t>
  </si>
  <si>
    <t xml:space="preserve">La ficha debe ofrecer accesos directos para reservar, cotizar y vender el vehículo.</t>
  </si>
  <si>
    <t>RF-07.34</t>
  </si>
  <si>
    <t xml:space="preserve">El balance del vehículo debe mostrar costo de adquisición, gastos, costo total y margen (proyectado si no se ha vendido, real si se vendió); en consignados, la comisión pactada.</t>
  </si>
  <si>
    <t>RF-07.35</t>
  </si>
  <si>
    <t xml:space="preserve">La bitácora debe registrar y mostrar: alta, cambios de precio y estado, gastos, cotizaciones, reservas, venta, anulaciones y transferencias.</t>
  </si>
  <si>
    <t>RF-07.36</t>
  </si>
  <si>
    <t xml:space="preserve">La ficha de un vehículo consignado debe mostrar los datos de su consignación y enlazar a ella.</t>
  </si>
  <si>
    <t>RF-08.01</t>
  </si>
  <si>
    <t xml:space="preserve">8. Gastos</t>
  </si>
  <si>
    <t xml:space="preserve">El sistema debe permitir registrar gastos de vehículo con categoría (mecánica, estética, documentación, trámites), monto, fecha, comentario y boleta opcional.</t>
  </si>
  <si>
    <t>RF-08.02</t>
  </si>
  <si>
    <t xml:space="preserve">El sistema debe permitir registrar gastos operacionales con categoría (arriendo, sueldos y comisiones, publicidad, servicios básicos, mantención del local, contabilidad y legal, impuestos y patentes, otros), monto, fecha, comentario y boleta opcional.</t>
  </si>
  <si>
    <t>RF-08.03</t>
  </si>
  <si>
    <t xml:space="preserve">El Admin General debe poder asignar un gasto operacional a una sucursal o dejarlo como gasto general de la automotora; el Admin de Sucursal siempre lo registra en la suya.</t>
  </si>
  <si>
    <t>RF-08.04</t>
  </si>
  <si>
    <t xml:space="preserve">El sistema debe impedir registrar gastos en vehículos en consignación.</t>
  </si>
  <si>
    <t>RF-08.05</t>
  </si>
  <si>
    <t xml:space="preserve">El sistema debe asignar a cada gasto un número correlativo por automotora.</t>
  </si>
  <si>
    <t>RF-08.06</t>
  </si>
  <si>
    <t xml:space="preserve">El sistema debe permitir editar un gasto activo (los de vehículo, mientras el vehículo no esté vendido).</t>
  </si>
  <si>
    <t>RF-08.07</t>
  </si>
  <si>
    <t xml:space="preserve">El sistema debe permitir anular un gasto con motivo opcional, conservándolo en el historial como anulado.</t>
  </si>
  <si>
    <t>RF-08.08</t>
  </si>
  <si>
    <t xml:space="preserve">El sistema debe permitir registrar un gasto en un vehículo ya vendido, ajustando su margen real.</t>
  </si>
  <si>
    <t>RF-08.09</t>
  </si>
  <si>
    <t xml:space="preserve">La boleta debe aceptarse en PDF, JPG, PNG, HEIC o AVIF, y descargarse solo con sesión y dentro del alcance.</t>
  </si>
  <si>
    <t>RF-08.10</t>
  </si>
  <si>
    <t xml:space="preserve">El listado de gastos debe filtrarse por período, sucursal (incluida la opción "solo generales" para el Admin General), tipo, categoría y anulados, y recordar el período durante la sesión.</t>
  </si>
  <si>
    <t>RF-08.11</t>
  </si>
  <si>
    <t xml:space="preserve">El listado debe mostrar los totales del período: total, operacionales y de vehículos.</t>
  </si>
  <si>
    <t>RF-08.12</t>
  </si>
  <si>
    <t xml:space="preserve">Cada fila del listado debe abrir el detalle del gasto, y ofrecer acciones para ver la boleta, editar y anular.</t>
  </si>
  <si>
    <t>RF-08.13</t>
  </si>
  <si>
    <t xml:space="preserve">El detalle del gasto debe mostrar número, estado, tipo, sucursal, monto, fecha, categoría, vehículo, comentario, boleta y quién lo registró, con acciones de editar y anular.</t>
  </si>
  <si>
    <t>RF-08.14</t>
  </si>
  <si>
    <t xml:space="preserve">Un gasto debe poder editarlo o anularlo el administrador de la sucursal donde se registró o el de la sucursal donde está hoy el vehículo.</t>
  </si>
  <si>
    <t>RF-08.15</t>
  </si>
  <si>
    <t xml:space="preserve">Los gastos generales (sin sucursal) solo deben verlos los Admin General y contar solo en la vista consolidada.</t>
  </si>
  <si>
    <t>RF-09.01</t>
  </si>
  <si>
    <t xml:space="preserve">9. Consignaciones</t>
  </si>
  <si>
    <t xml:space="preserve">El sistema debe permitir registrar una consignación junto con el alta del vehículo: consignante (cliente), tipo de trato, precio mínimo, fecha de inicio y fecha de término.</t>
  </si>
  <si>
    <t>RF-09.02</t>
  </si>
  <si>
    <t xml:space="preserve">El sistema debe soportar dos tipos de trato: comisión (porcentaje del precio final de venta) y precio neto garantizado al dueño.</t>
  </si>
  <si>
    <t>RF-09.03</t>
  </si>
  <si>
    <t xml:space="preserve">Al ingresar el trato, el sistema debe mostrar enlazados la ganancia esperada y el porcentaje sobre el precio de venta (al editar uno se actualiza el otro).</t>
  </si>
  <si>
    <t>RF-09.04</t>
  </si>
  <si>
    <t xml:space="preserve">El sistema debe generar un documento PDF de la consignación con folio correlativo por sucursal.</t>
  </si>
  <si>
    <t>RF-09.05</t>
  </si>
  <si>
    <t xml:space="preserve">El sistema debe permitir cambiar las condiciones del trato mientras la consignación esté activa.</t>
  </si>
  <si>
    <t>RF-09.06</t>
  </si>
  <si>
    <t xml:space="preserve">El sistema debe marcar automáticamente como vencida la consignación cuyo plazo terminó.</t>
  </si>
  <si>
    <t>RF-09.07</t>
  </si>
  <si>
    <t xml:space="preserve">El sistema debe permitir extender el plazo de una consignación (vuelve a activa).</t>
  </si>
  <si>
    <t>RF-09.08</t>
  </si>
  <si>
    <t xml:space="preserve">El sistema debe permitir devolver el vehículo al consignante (la consignación queda devuelta y el vehículo dado de baja, sin poder reactivarse); no se puede devolver un vehículo reservado o vendido.</t>
  </si>
  <si>
    <t>RF-09.09</t>
  </si>
  <si>
    <t xml:space="preserve">El sistema debe calcular la liquidación (ganancia de la automotora y monto para el consignante) sobre el precio de venta, y permitir simularla con otro precio.</t>
  </si>
  <si>
    <t>RF-09.10</t>
  </si>
  <si>
    <t xml:space="preserve">El sistema debe advertir cuando un precio de venta queda bajo el mínimo aceptado (y, en precio neto, la pérdida de la automotora).</t>
  </si>
  <si>
    <t>RF-09.11</t>
  </si>
  <si>
    <t xml:space="preserve">El Vendedor debe ver el consignante, el plazo y el precio mínimo, pero no la comisión ni la liquidación.</t>
  </si>
  <si>
    <t>VE</t>
  </si>
  <si>
    <t>RF-09.12</t>
  </si>
  <si>
    <t xml:space="preserve">El listado de consignaciones debe permitir buscar por patente, vehículo, consignante, RUT o folio; filtrar por estado; ordenar por días en stock, precio mínimo y plazo; y mostrar los días en stock.</t>
  </si>
  <si>
    <t>RF-09.13</t>
  </si>
  <si>
    <t xml:space="preserve">La gestión de una consignación debe hacerla la sucursal donde está hoy el vehículo.</t>
  </si>
  <si>
    <t>RF-10.01</t>
  </si>
  <si>
    <t xml:space="preserve">10. Documentos comerciales</t>
  </si>
  <si>
    <t xml:space="preserve">10.1 Cotización</t>
  </si>
  <si>
    <t xml:space="preserve">El sistema debe permitir emitir una cotización con cliente, vehículo, precio cotizado (puede diferir del publicado), adicionales opcionales (incluso de $0) y vigencia en días.</t>
  </si>
  <si>
    <t>RF-10.02</t>
  </si>
  <si>
    <t xml:space="preserve">El sistema debe impedir cotizar un vehículo vendido o dado de baja.</t>
  </si>
  <si>
    <t>RF-10.03</t>
  </si>
  <si>
    <t xml:space="preserve">En vehículos consignados, el sistema debe impedir cotizar bajo el precio mínimo aceptado por el dueño.</t>
  </si>
  <si>
    <t>RF-10.04</t>
  </si>
  <si>
    <t xml:space="preserve">La cotización debe tener los estados Vigente, Vencida (al cumplir su plazo, de forma automática), Concretada (cuando una venta la concreta) y Anulada.</t>
  </si>
  <si>
    <t>RF-10.05</t>
  </si>
  <si>
    <t xml:space="preserve">El sistema debe permitir concretar una cotización vigente en una venta, con su vehículo, cliente, precio y adicionales.</t>
  </si>
  <si>
    <t>RF-10.06</t>
  </si>
  <si>
    <t xml:space="preserve">La cotización concretada debe enlazar a su venta; si el vehículo ya se vendió por otra vía, el sistema debe indicarlo en lugar de ofrecer concretarla.</t>
  </si>
  <si>
    <t>RF-10.07</t>
  </si>
  <si>
    <t xml:space="preserve">El sistema debe permitir anular una cotización (salvo concretada) con motivo obligatorio.</t>
  </si>
  <si>
    <t>RF-10.08</t>
  </si>
  <si>
    <t xml:space="preserve">La emisión debe registrarse en la bitácora del vehículo.</t>
  </si>
  <si>
    <t>RF-10.09</t>
  </si>
  <si>
    <t xml:space="preserve">10.2 Reserva</t>
  </si>
  <si>
    <t xml:space="preserve">El sistema debe permitir emitir una reserva con cliente, vehículo, monto de la seña (no mayor al precio de venta), condiciones de devolución y vigencia.</t>
  </si>
  <si>
    <t>RF-10.10</t>
  </si>
  <si>
    <t xml:space="preserve">Solo debe poder reservarse un vehículo disponible, en preparación o pendiente de revisión, y como máximo una reserva activa por vehículo.</t>
  </si>
  <si>
    <t>RF-10.11</t>
  </si>
  <si>
    <t xml:space="preserve">Al reservar, el vehículo debe pasar a Reservado, guardando su estado previo.</t>
  </si>
  <si>
    <t>RF-10.12</t>
  </si>
  <si>
    <t xml:space="preserve">El sistema debe marcar automáticamente como vencida la reserva cuyo plazo terminó, manteniendo el vehículo reservado hasta una decisión manual.</t>
  </si>
  <si>
    <t>RF-10.13</t>
  </si>
  <si>
    <t xml:space="preserve">El sistema debe permitir extender la fecha de vencimiento de una reserva.</t>
  </si>
  <si>
    <t>RF-10.14</t>
  </si>
  <si>
    <t xml:space="preserve">El sistema debe permitir cancelar una reserva con motivo obligatorio, indicando si la seña se retiene (ingreso de la automotora) o se devuelve; el vehículo vuelve a su estado previo.</t>
  </si>
  <si>
    <t>RF-10.15</t>
  </si>
  <si>
    <t xml:space="preserve">Al concretarse en venta, la seña debe descontarse automáticamente del saldo a pagar.</t>
  </si>
  <si>
    <t>RF-10.16</t>
  </si>
  <si>
    <t xml:space="preserve">10.3 Tasación</t>
  </si>
  <si>
    <t xml:space="preserve">El sistema debe permitir emitir una tasación con cliente, datos del vehículo del cliente (patente, marca, modelo, versión, año, kilometraje, estado general), monto ofrecido y vigencia, sin crear un vehículo en el inventario.</t>
  </si>
  <si>
    <t>RF-10.17</t>
  </si>
  <si>
    <t xml:space="preserve">El Admin General debe elegir la sucursal de la tasación; para el resto es la suya.</t>
  </si>
  <si>
    <t>RF-10.18</t>
  </si>
  <si>
    <t xml:space="preserve">El sistema debe permitir marcar una tasación vigente como aceptada o rechazada; vence automáticamente al cumplir su plazo.</t>
  </si>
  <si>
    <t>RF-10.19</t>
  </si>
  <si>
    <t xml:space="preserve">Desde una tasación aceptada, el sistema debe permitir crear el vehículo como compra a particular, con el precio real de compra.</t>
  </si>
  <si>
    <t>RF-10.20</t>
  </si>
  <si>
    <t xml:space="preserve">El sistema debe permitir anular una tasación con motivo obligatorio, salvo que ya haya originado un vehículo.</t>
  </si>
  <si>
    <t>RF-10.21</t>
  </si>
  <si>
    <t xml:space="preserve">10.4 Reglas comunes a los documentos</t>
  </si>
  <si>
    <t xml:space="preserve">Cada documento (cotización, reserva, tasación, consignación y venta) debe tener un folio correlativo por sucursal.</t>
  </si>
  <si>
    <t>RF-10.22</t>
  </si>
  <si>
    <t xml:space="preserve">Cada documento debe conservar la sucursal en que se emitió, aunque el vehículo se transfiera después.</t>
  </si>
  <si>
    <t>RF-10.23</t>
  </si>
  <si>
    <t xml:space="preserve">Un documento emitido no debe editarse: se anula y se emite uno nuevo.</t>
  </si>
  <si>
    <t>RF-10.24</t>
  </si>
  <si>
    <t xml:space="preserve">El sistema debe generar el PDF de cada documento al emitirlo y permitir descargarlo con sesión y dentro del alcance.</t>
  </si>
  <si>
    <t>RF-10.25</t>
  </si>
  <si>
    <t xml:space="preserve">La vigencia de cotizaciones, reservas y tasaciones debe tomar por defecto el valor configurado por la automotora y poder ajustarse caso a caso.</t>
  </si>
  <si>
    <t>RF-10.26</t>
  </si>
  <si>
    <t xml:space="preserve">Los listados de cotizaciones, reservas, tasaciones y ventas deben permitir buscar por folio, cliente (nombre o RUT), patente, marca o modelo; filtrar por estado y rango de fechas; y ordenar por fecha o monto.</t>
  </si>
  <si>
    <t>RF-10.27</t>
  </si>
  <si>
    <t xml:space="preserve">Cotizaciones y reservas deben ser visibles desde la sucursal donde se emitieron y desde la sucursal donde está hoy el vehículo.</t>
  </si>
  <si>
    <t>RF-11.01</t>
  </si>
  <si>
    <t xml:space="preserve">11. Ventas</t>
  </si>
  <si>
    <t xml:space="preserve">El sistema debe permitir registrar una venta por pasos: vehículo, comprador, precio final, formas de pago, adicionales, resumen y confirmación.</t>
  </si>
  <si>
    <t>RF-11.02</t>
  </si>
  <si>
    <t xml:space="preserve">Solo debe poder venderse un vehículo disponible, en preparación, pendiente de revisión o reservado, y como máximo una venta confirmada por vehículo.</t>
  </si>
  <si>
    <t>RF-11.03</t>
  </si>
  <si>
    <t xml:space="preserve">El sistema debe permitir combinar formas de pago: efectivo, transferencia, cheque, financiamiento y vehículo en parte de pago.</t>
  </si>
  <si>
    <t>RF-11.04</t>
  </si>
  <si>
    <t xml:space="preserve">El sistema debe verificar que la suma de las formas de pago sea exactamente el precio final más los adicionales menos la seña, e impedir confirmar si no cuadra.</t>
  </si>
  <si>
    <t>RF-11.05</t>
  </si>
  <si>
    <t xml:space="preserve">Si el vehículo tiene una reserva activa, la venta debe concretarla (mismo cliente) y la reserva pasar a convertida en venta.</t>
  </si>
  <si>
    <t>RF-11.06</t>
  </si>
  <si>
    <t xml:space="preserve">La venta debe poder concretar una cotización vigente del mismo vehículo y cliente, que pasa a concretada.</t>
  </si>
  <si>
    <t>RF-11.07</t>
  </si>
  <si>
    <t xml:space="preserve">Con un vehículo en parte de pago, el sistema debe crear un vehículo nuevo con sus datos esenciales (patente, marca, modelo, año, kilometraje, color), en estado pendiente de revisión, con costo igual al monto de esa forma de pago.</t>
  </si>
  <si>
    <t>RF-11.08</t>
  </si>
  <si>
    <t xml:space="preserve">Los adicionales (por ejemplo, traspaso) deben sumarse al total a pagar, pero nunca al margen ni a los indicadores.</t>
  </si>
  <si>
    <t>RF-11.09</t>
  </si>
  <si>
    <t xml:space="preserve">En vehículos consignados, la consignación debe pasar a vendida y calcularse su liquidación; vender bajo el precio mínimo solo debe poder hacerlo un administrador.</t>
  </si>
  <si>
    <t xml:space="preserve">SIS, AG, AS</t>
  </si>
  <si>
    <t>RF-11.10</t>
  </si>
  <si>
    <t xml:space="preserve">Al confirmar, el vehículo debe pasar a Vendido, registrarse en su bitácora y en el historial del cliente.</t>
  </si>
  <si>
    <t>RF-11.11</t>
  </si>
  <si>
    <t xml:space="preserve">El sistema debe generar el comprobante de venta en PDF.</t>
  </si>
  <si>
    <t>RF-11.12</t>
  </si>
  <si>
    <t xml:space="preserve">El detalle de la venta debe mostrar el vehículo, cliente, precio, formas de pago, adicionales, reserva o cotización asociada, vendedor y comprobante.</t>
  </si>
  <si>
    <t>RF-12.01</t>
  </si>
  <si>
    <t xml:space="preserve">12. Anulación y cancelación</t>
  </si>
  <si>
    <t xml:space="preserve">El sistema debe permitir anular una venta, sin límite de tiempo, con motivo obligatorio.</t>
  </si>
  <si>
    <t>RF-12.02</t>
  </si>
  <si>
    <t xml:space="preserve">Al anular una venta, el vehículo debe volver a Disponible (o En preparación si no tiene fotos), con registro en su bitácora.</t>
  </si>
  <si>
    <t>RF-12.03</t>
  </si>
  <si>
    <t xml:space="preserve">Si la venta concretaba una reserva, la reserva debe cancelarse con la seña retenida como ingreso.</t>
  </si>
  <si>
    <t>RF-12.04</t>
  </si>
  <si>
    <t xml:space="preserve">Si la venta concretaba una cotización, la cotización debe volver a vigente (o vencida si pasó su plazo).</t>
  </si>
  <si>
    <t>RF-12.05</t>
  </si>
  <si>
    <t xml:space="preserve">Si el vehículo era consignado, la consignación debe volver a activa (o vencida si pasó su plazo).</t>
  </si>
  <si>
    <t>RF-12.06</t>
  </si>
  <si>
    <t xml:space="preserve">El vehículo recibido en parte de pago no debe eliminarse al anular la venta.</t>
  </si>
  <si>
    <t>RF-12.07</t>
  </si>
  <si>
    <t xml:space="preserve">El Vendedor nunca debe poder anular ventas ni cancelar reservas.</t>
  </si>
  <si>
    <t>RF-13.01</t>
  </si>
  <si>
    <t xml:space="preserve">13. Notificaciones internas</t>
  </si>
  <si>
    <t xml:space="preserve">El sistema debe generar avisos internos de reservas por vencer (1 día antes), consignaciones por vencer (7 días hábiles antes y el mismo día) y documentos legales por vencer (7 días hábiles antes).</t>
  </si>
  <si>
    <t>RF-13.02</t>
  </si>
  <si>
    <t xml:space="preserve">Los avisos deben generarse a diario y al iniciar el sistema, una sola vez por evento (renovar o extender genera un aviso nuevo).</t>
  </si>
  <si>
    <t>RF-13.03</t>
  </si>
  <si>
    <t xml:space="preserve">Los avisos de permiso de circulación y SOAP que venzan en fechas cercanas en una misma sucursal deben agruparse en un solo aviso; los de revisión técnica deben ser individuales.</t>
  </si>
  <si>
    <t>RF-13.04</t>
  </si>
  <si>
    <t xml:space="preserve">Cada aviso debe verlo el personal de la sucursal donde está hoy el vehículo y todos los Admin General.</t>
  </si>
  <si>
    <t>RF-13.05</t>
  </si>
  <si>
    <t xml:space="preserve">El sistema debe mostrar un indicador con la cantidad de avisos pendientes y un panel desplegable con ellos.</t>
  </si>
  <si>
    <t>RF-13.06</t>
  </si>
  <si>
    <t xml:space="preserve">El sistema debe ofrecer una página de notificaciones con pestañas de pendientes y resueltas.</t>
  </si>
  <si>
    <t>RF-13.07</t>
  </si>
  <si>
    <t xml:space="preserve">El sistema debe permitir marcar un aviso como resuelto, registrando quién y cuándo.</t>
  </si>
  <si>
    <t>RF-13.08</t>
  </si>
  <si>
    <t xml:space="preserve">Cada aviso debe enlazar al vehículo, reserva o consignación involucrada.</t>
  </si>
  <si>
    <t>RF-14.01</t>
  </si>
  <si>
    <t xml:space="preserve">14. Dashboard del negocio</t>
  </si>
  <si>
    <t xml:space="preserve">El dashboard debe mostrar los ingresos del período (ventas confirmadas y señas retenidas).</t>
  </si>
  <si>
    <t>RF-14.02</t>
  </si>
  <si>
    <t xml:space="preserve">El dashboard debe mostrar la cantidad y el monto de ventas del período.</t>
  </si>
  <si>
    <t>RF-14.03</t>
  </si>
  <si>
    <t xml:space="preserve">El dashboard debe mostrar el stock (propio y consignado) y las publicaciones activas.</t>
  </si>
  <si>
    <t>RF-14.04</t>
  </si>
  <si>
    <t xml:space="preserve">El dashboard debe mostrar la utilidad neta del período (utilidad bruta menos gastos operacionales).</t>
  </si>
  <si>
    <t>RF-14.05</t>
  </si>
  <si>
    <t xml:space="preserve">El dashboard debe mostrar el gráfico de ingresos acumulados del período.</t>
  </si>
  <si>
    <t>RF-14.06</t>
  </si>
  <si>
    <t xml:space="preserve">El dashboard debe mostrar la composición del inventario por estado, las reservas por vencer y los vehículos estancados (más de 45 días).</t>
  </si>
  <si>
    <t>RF-14.07</t>
  </si>
  <si>
    <t xml:space="preserve">El dashboard debe mostrar el costo del inventario actual y las ganancias proyectadas.</t>
  </si>
  <si>
    <t>RF-14.08</t>
  </si>
  <si>
    <t xml:space="preserve">El dashboard debe mostrar las últimas ventas del período, enlazadas a su detalle.</t>
  </si>
  <si>
    <t>RF-14.09</t>
  </si>
  <si>
    <t xml:space="preserve">El dashboard debe permitir elegir el período (por defecto el mes actual) y recordarlo durante la sesión.</t>
  </si>
  <si>
    <t>RF-14.10</t>
  </si>
  <si>
    <t xml:space="preserve">El Admin General debe poder ver el consolidado o una o varias sucursales, con un desglose comparativo por sucursal.</t>
  </si>
  <si>
    <t>RF-14.11</t>
  </si>
  <si>
    <t xml:space="preserve">Los indicadores de inventario deben usar la sucursal donde está hoy el vehículo, y los del período, la sucursal donde ocurrió cada transacción.</t>
  </si>
  <si>
    <t>RF-14.12</t>
  </si>
  <si>
    <t xml:space="preserve">El Vendedor debe ver solo indicadores de volumen (stock, publicaciones, reservas, estancados, ventas e ingresos).</t>
  </si>
  <si>
    <t>RF-15.01</t>
  </si>
  <si>
    <t xml:space="preserve">15. Analítica</t>
  </si>
  <si>
    <t xml:space="preserve">La analítica debe permitir elegir el período con rango de fechas y atajos (este mes, últimos 3 meses, este año, últimos 12 meses), con un máximo de 10 años, y recordarlo durante la sesión.</t>
  </si>
  <si>
    <t>RF-15.02</t>
  </si>
  <si>
    <t xml:space="preserve">La analítica debe mostrar el resumen del período: cantidad de ventas, ticket promedio, margen por auto (administradores), días promedio hasta vender, descuento negociado y tasa de cierre de cotizaciones.</t>
  </si>
  <si>
    <t>RF-15.03</t>
  </si>
  <si>
    <t xml:space="preserve">La analítica debe mostrar la evolución mensual de ingresos, ventas, margen y utilidad neta (las dos últimas solo administradores), una medida a la vez.</t>
  </si>
  <si>
    <t>RF-15.04</t>
  </si>
  <si>
    <t xml:space="preserve">La analítica debe mostrar el embudo comercial: cotizaciones y reservas emitidas, cuántas terminaron en venta y de dónde provienen las ventas.</t>
  </si>
  <si>
    <t>RF-15.05</t>
  </si>
  <si>
    <t xml:space="preserve">La analítica debe mostrar el monto recibido por forma de pago.</t>
  </si>
  <si>
    <t>RF-15.06</t>
  </si>
  <si>
    <t xml:space="preserve">La analítica debe mostrar la antigüedad del inventario por tramos (0–15, 16–30, 31–45, 46–90 y más de 90 días), con el capital inmovilizado en estancados (administradores).</t>
  </si>
  <si>
    <t>RF-15.07</t>
  </si>
  <si>
    <t xml:space="preserve">La analítica debe mostrar el stock por tipo de vehículo con su valor (y capital invertido para administradores).</t>
  </si>
  <si>
    <t>RF-15.08</t>
  </si>
  <si>
    <t xml:space="preserve">La analítica debe mostrar el rendimiento por origen del vehículo (ventas, días hasta vender y margen).</t>
  </si>
  <si>
    <t>RF-15.09</t>
  </si>
  <si>
    <t xml:space="preserve">La analítica debe mostrar las ventas por vendedor (administradores) o por tipo de vehículo (Vendedor).</t>
  </si>
  <si>
    <t>RF-15.10</t>
  </si>
  <si>
    <t xml:space="preserve">La analítica debe mostrar los gastos por categoría del período.</t>
  </si>
  <si>
    <t>RF-15.11</t>
  </si>
  <si>
    <t xml:space="preserve">La analítica debe mostrar las ventas por marca y modelo (velocidad de venta, ingresos y rentabilidad promedio) y permitir exportarlas a CSV.</t>
  </si>
  <si>
    <t>RF-15.12</t>
  </si>
  <si>
    <t xml:space="preserve">La analítica debe listar los vehículos estancados con una sugerencia de acción según reglas simples (agregar fotos, terminar la preparación, revisar precio o considerar una rebaja).</t>
  </si>
  <si>
    <t>RF-15.13</t>
  </si>
  <si>
    <t xml:space="preserve">La analítica debe tener el mismo selector de sucursales que el dashboard.</t>
  </si>
  <si>
    <t>RF-16.01</t>
  </si>
  <si>
    <t xml:space="preserve">16. Auditoría</t>
  </si>
  <si>
    <t xml:space="preserve">El sistema debe registrar en la auditoría, de forma inmutable y en la misma operación, cada acción relevante: cambios de precio, costo y estado de vehículos, transferencias, emisión, resolución, anulación, extensión y cancelación de documentos, ventas y anulaciones, gastos, usuarios, sucursales, clientes y configuración.</t>
  </si>
  <si>
    <t>RF-16.02</t>
  </si>
  <si>
    <t xml:space="preserve">Cada registro debe guardar usuario, fecha y hora, sucursal, acción, entidad afectada y los valores anterior y nuevo.</t>
  </si>
  <si>
    <t>RF-16.03</t>
  </si>
  <si>
    <t xml:space="preserve">La auditoría debe mostrarse como un registro de actividad agrupado por día, con cada acción como frase, la sucursal y la hora.</t>
  </si>
  <si>
    <t>RF-16.04</t>
  </si>
  <si>
    <t xml:space="preserve">Cada registro debe mostrar solo los datos que cambiaron (antes → después) o, al crear algo, sus datos.</t>
  </si>
  <si>
    <t>RF-16.05</t>
  </si>
  <si>
    <t xml:space="preserve">Cada registro debe enlazar al documento o entidad involucrada (con su folio o número cuando corresponde).</t>
  </si>
  <si>
    <t>RF-16.06</t>
  </si>
  <si>
    <t xml:space="preserve">La auditoría debe filtrarse por tipo de entidad y rango de fechas, y por sucursal para el Admin General.</t>
  </si>
  <si>
    <t>RF-16.07</t>
  </si>
  <si>
    <t xml:space="preserve">El Admin de Sucursal debe ver solo los registros de su sucursal; el Vendedor no debe acceder a la auditoría.</t>
  </si>
  <si>
    <t>RF-17.01</t>
  </si>
  <si>
    <t xml:space="preserve">17. Configuración de la automotora</t>
  </si>
  <si>
    <t xml:space="preserve">El sistema debe permitir editar los datos de la empresa: nombre, RUT, correo, dirección, teléfono y descripción.</t>
  </si>
  <si>
    <t>RF-17.02</t>
  </si>
  <si>
    <t xml:space="preserve">El sistema debe permitir subir, cambiar y quitar el logo y el banner (JPG, PNG, WebP, HEIC o AVIF de hasta 10 MB, convertidos a WebP), mostrando la imagen al instante.</t>
  </si>
  <si>
    <t>RF-17.03</t>
  </si>
  <si>
    <t xml:space="preserve">El sistema debe permitir definir la vigencia por defecto (1 a 365 días) de cotizaciones, reservas y tasaciones, aplicable solo a documentos nuevos.</t>
  </si>
  <si>
    <t>RF-17.04</t>
  </si>
  <si>
    <t xml:space="preserve">El sistema debe permitir activar o desactivar el envío automático del PDF por tipo de documento.</t>
  </si>
  <si>
    <t>RF-17.05</t>
  </si>
  <si>
    <t xml:space="preserve">El sistema debe permitir activar o desactivar cada recordatorio al cliente y definir sus días.</t>
  </si>
  <si>
    <t>RF-17.06</t>
  </si>
  <si>
    <t xml:space="preserve">El sistema debe mostrar una vista previa de cómo aparece la vitrina en Google, actualizada mientras se escribe la descripción.</t>
  </si>
  <si>
    <t>RF-17.07</t>
  </si>
  <si>
    <t xml:space="preserve">El sistema debe mostrar la dirección de la vitrina pública, con enlace, e indicar que el subdominio no puede cambiarse.</t>
  </si>
  <si>
    <t>RF-17.08</t>
  </si>
  <si>
    <t xml:space="preserve">Todos los roles deben poder consultar la configuración; solo el Admin General debe poder modificarla.</t>
  </si>
  <si>
    <t>RF-18.01</t>
  </si>
  <si>
    <t xml:space="preserve">18. Correos al cliente</t>
  </si>
  <si>
    <t xml:space="preserve">Al emitir una cotización, reserva, tasación, venta o consignación, el sistema debe enviar al cliente su PDF por correo, con un resumen del documento.</t>
  </si>
  <si>
    <t xml:space="preserve">SIS, CL</t>
  </si>
  <si>
    <t>RF-18.02</t>
  </si>
  <si>
    <t xml:space="preserve">Al emitir, el usuario debe poder desmarcar el envío por correo; por defecto debe seguir la configuración de la automotora.</t>
  </si>
  <si>
    <t>RF-18.03</t>
  </si>
  <si>
    <t xml:space="preserve">El correo debe mostrar el nombre de la automotora como remitente, dirigir las respuestas a su correo e incluir un botón de WhatsApp y los datos de contacto de la sucursal.</t>
  </si>
  <si>
    <t>RF-18.04</t>
  </si>
  <si>
    <t xml:space="preserve">El sistema debe enviar un seguimiento de cotización ("el vehículo sigue disponible") los días configurados después de emitirla, solo si la cotización sigue vigente y el vehículo está disponible.</t>
  </si>
  <si>
    <t>RF-18.05</t>
  </si>
  <si>
    <t xml:space="preserve">El sistema debe enviar avisos de vencimiento de cotizaciones, reservas y tasaciones vigentes, con la anticipación configurada.</t>
  </si>
  <si>
    <t>RF-18.06</t>
  </si>
  <si>
    <t xml:space="preserve">Cada recordatorio debe enviarse una sola vez, y descartarse si al momento de enviarlo ya no corresponde (documento anulado o concretado, vehículo vendido).</t>
  </si>
  <si>
    <t>RF-18.07</t>
  </si>
  <si>
    <t xml:space="preserve">Los envíos fallidos deben reintentarse automáticamente (hasta 5 veces) sin afectar la operación que los originó.</t>
  </si>
  <si>
    <t>RF-18.08</t>
  </si>
  <si>
    <t xml:space="preserve">El detalle de cada documento debe mostrar su historial de correos (tipo, estado, destinatario, fecha y quién lo pidió).</t>
  </si>
  <si>
    <t>RF-18.09</t>
  </si>
  <si>
    <t xml:space="preserve">El sistema debe permitir reenviar el PDF de un documento no anulado al correo actual del cliente.</t>
  </si>
  <si>
    <t>RF-18.10</t>
  </si>
  <si>
    <t xml:space="preserve">Los seguimientos y avisos de cotización y tasación deben incluir un enlace para dejar de recibir recordatorios, que lleve a una página pública de confirmación y permita volver a activarlos.</t>
  </si>
  <si>
    <t>CL</t>
  </si>
  <si>
    <t>RF-18.11</t>
  </si>
  <si>
    <t xml:space="preserve">Los documentos emitidos y el aviso de reserva deben enviarse aunque el cliente se haya dado de baja de los recordatorios.</t>
  </si>
  <si>
    <t>RF-18.12</t>
  </si>
  <si>
    <t xml:space="preserve">Los clientes inactivos no deben recibir recordatorios.</t>
  </si>
  <si>
    <t>RF-19.01</t>
  </si>
  <si>
    <t xml:space="preserve">19. Requerimientos transversales del panel de gestión</t>
  </si>
  <si>
    <t xml:space="preserve">El panel debe mostrar un menú lateral con las secciones permitidas para el rol del usuario.</t>
  </si>
  <si>
    <t>RF-19.02</t>
  </si>
  <si>
    <t xml:space="preserve">El Admin General debe poder elegir desde el menú una sucursal o "Todas las sucursales", y los listados y reportes deben respetar esa elección.</t>
  </si>
  <si>
    <t>RF-19.03</t>
  </si>
  <si>
    <t xml:space="preserve">El panel debe ofrecer una búsqueda global de vehículos por marca, modelo o patente, accesible con un atajo de teclado.</t>
  </si>
  <si>
    <t>RF-19.04</t>
  </si>
  <si>
    <t xml:space="preserve">El enlace "Volver" de cada ficha debe llevar a la pantalla desde la que se llegó (mostrando su nombre), o a la sección correspondiente si se entró directo.</t>
  </si>
  <si>
    <t>RF-19.05</t>
  </si>
  <si>
    <t xml:space="preserve">Las filas de los listados deben abrir el detalle del registro al hacer clic.</t>
  </si>
  <si>
    <t>RF-19.06</t>
  </si>
  <si>
    <t xml:space="preserve">Los filtros y búsquedas de los listados deben volver a su valor por defecto al salir de la pantalla (salvo el orden de vehículos y los períodos de dashboard, analítica y gastos, que se recuerdan durante la sesión).</t>
  </si>
  <si>
    <t>RF-19.07</t>
  </si>
  <si>
    <t xml:space="preserve">El panel debe permitir elegir tema claro u oscuro.</t>
  </si>
  <si>
    <t>RF-19.08</t>
  </si>
  <si>
    <t xml:space="preserve">El panel debe adaptarse a teléfonos: listados como listas compactas en lugar de tablas, formularios como hojas inferiores y menú lateral desplegable.</t>
  </si>
  <si>
    <t>RF-19.09</t>
  </si>
  <si>
    <t xml:space="preserve">Las acciones destructivas (anular, cancelar, desactivar, dar de baja) deben pedir confirmación y, cuando corresponde, un motivo.</t>
  </si>
  <si>
    <t>RF-19.10</t>
  </si>
  <si>
    <t xml:space="preserve">El sistema debe informar el resultado de cada acción con un aviso breve (éxito o error con su causa).</t>
  </si>
  <si>
    <t>RF-19.11</t>
  </si>
  <si>
    <t xml:space="preserve">Los montos deben mostrarse en pesos chilenos, las fechas en formato chileno y la hora en la zona horaria de Chile.</t>
  </si>
  <si>
    <t>RF-19.12</t>
  </si>
  <si>
    <t xml:space="preserve">El título de la pestaña del navegador debe reflejar la pantalla actual.</t>
  </si>
  <si>
    <t xml:space="preserve">Resumen por módulo</t>
  </si>
  <si>
    <t>Cantidad</t>
  </si>
  <si>
    <t xml:space="preserve">% del total</t>
  </si>
  <si>
    <t xml:space="preserve">Requerimientos donde participa</t>
  </si>
  <si>
    <t xml:space="preserve">Admin General</t>
  </si>
  <si>
    <t>AS</t>
  </si>
  <si>
    <t xml:space="preserve">Admin de Sucursal</t>
  </si>
  <si>
    <t>Vendedor</t>
  </si>
  <si>
    <t xml:space="preserve">Todos (AG, AS y VE)</t>
  </si>
  <si>
    <t>Visitante</t>
  </si>
  <si>
    <t>Cliente</t>
  </si>
  <si>
    <t>Sistema</t>
  </si>
  <si>
    <t xml:space="preserve">Nota: un requerimiento puede tener más de un actor, por lo que esta columna no suma el total.</t>
  </si>
  <si>
    <t>Total</t>
  </si>
  <si>
    <t>Sigla</t>
  </si>
  <si>
    <t>Descripción</t>
  </si>
  <si>
    <t xml:space="preserve">Dueño de la automotora. Ve y gestiona todas sus sucursales.</t>
  </si>
  <si>
    <t xml:space="preserve">Mismos permisos que el Admin General, acotado a su sucursal.</t>
  </si>
  <si>
    <t xml:space="preserve">Acotado a su sucursal. No ve costos, márgenes ni gastos; no anula ni administra.</t>
  </si>
  <si>
    <t xml:space="preserve">Comprador o público general, anónimo, en el sitio público.</t>
  </si>
  <si>
    <t xml:space="preserve">Cliente de la automotora que recibe correos (no usa el sistema).</t>
  </si>
  <si>
    <t xml:space="preserve">Procesos automáticos (tareas programadas, validaciones, cálculos).</t>
  </si>
  <si>
    <t xml:space="preserve">«Todos» equivale a AG, AS y VE (usuarios autenticados del panel).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</si>
</sst>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
  </numFmts>
  <fonts count="12">
    <font>
      <sz val="11.000000"/>
      <color theme="1"/>
      <name val="Calibri"/>
    </font>
    <font>
      <sz val="10.000000"/>
      <name val="Arial"/>
    </font>
    <font>
      <b/>
      <sz val="14.000000"/>
      <color rgb="FF22303C"/>
      <name val="Arial"/>
    </font>
    <font>
      <b/>
      <sz val="11.000000"/>
      <color rgb="FF22303C"/>
      <name val="Carlito"/>
    </font>
    <font>
      <sz val="11.000000"/>
      <color theme="1"/>
      <name val="Carlito"/>
    </font>
    <font>
      <sz val="11.000000"/>
      <color indexed="64"/>
      <name val="Carlito"/>
    </font>
    <font>
      <b/>
      <sz val="11.000000"/>
      <color indexed="65"/>
      <name val="Carlito"/>
    </font>
    <font>
      <sz val="11.000000"/>
      <name val="Carlito"/>
    </font>
    <font>
      <b/>
      <sz val="11.000000"/>
      <color indexed="65"/>
      <name val="Arial"/>
    </font>
    <font>
      <i/>
      <sz val="9.000000"/>
      <color rgb="FF5E7A8C"/>
      <name val="Arial"/>
    </font>
    <font>
      <b/>
      <sz val="10.000000"/>
      <name val="Arial"/>
    </font>
    <font>
      <i/>
      <sz val="9.000000"/>
      <name val="Arial"/>
    </font>
  </fonts>
  <fills count="3">
    <fill>
      <patternFill patternType="none"/>
    </fill>
    <fill>
      <patternFill patternType="gray125"/>
    </fill>
    <fill>
      <patternFill patternType="solid">
        <fgColor rgb="FF22303C"/>
        <bgColor indexed="59"/>
      </patternFill>
    </fill>
  </fills>
  <borders count="3">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rgb="FFC9D3DB"/>
      </left>
      <right style="thin">
        <color rgb="FFC9D3DB"/>
      </right>
      <top style="thin">
        <color rgb="FFC9D3DB"/>
      </top>
      <bottom style="thin">
        <color rgb="FFC9D3DB"/>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1">
    <xf fontId="0" fillId="0" borderId="0" numFmtId="0" xfId="0" applyProtection="0">
      <protection hidden="0" locked="1"/>
    </xf>
    <xf fontId="2" fillId="0" borderId="0" numFmtId="0" xfId="0" applyFont="1" applyProtection="0">
      <protection hidden="0" locked="1"/>
    </xf>
    <xf fontId="3" fillId="0" borderId="0" numFmtId="0" xfId="0" applyFont="1" applyProtection="0">
      <protection hidden="0" locked="1"/>
    </xf>
    <xf fontId="4" fillId="0" borderId="0" numFmtId="0" xfId="0" applyFont="1" applyProtection="0">
      <protection hidden="0" locked="1"/>
    </xf>
    <xf fontId="5" fillId="0" borderId="0" numFmtId="0" xfId="0" applyFont="1" applyAlignment="1" applyProtection="0">
      <alignment horizontal="left"/>
      <protection hidden="0" locked="1"/>
    </xf>
    <xf fontId="4" fillId="0" borderId="0" numFmtId="0" xfId="0" applyFont="1" applyProtection="0">
      <protection hidden="0" locked="1"/>
    </xf>
    <xf fontId="5" fillId="0" borderId="0" numFmtId="0" xfId="0" applyFont="1" applyAlignment="1" applyProtection="0">
      <alignment horizontal="left"/>
      <protection hidden="0" locked="1"/>
    </xf>
    <xf fontId="6" fillId="2" borderId="1" numFmtId="0" xfId="0" applyFont="1" applyFill="1" applyBorder="1" applyAlignment="1" applyProtection="0">
      <alignment horizontal="center" vertical="center"/>
      <protection hidden="0" locked="1"/>
    </xf>
    <xf fontId="7" fillId="0" borderId="1" numFmtId="0" xfId="0" applyFont="1" applyBorder="1" applyAlignment="1" applyProtection="0">
      <alignment horizontal="center" vertical="top" wrapText="1"/>
      <protection hidden="0" locked="1"/>
    </xf>
    <xf fontId="7" fillId="0" borderId="1" numFmtId="0" xfId="0" applyFont="1" applyBorder="1" applyAlignment="1" applyProtection="0">
      <alignment horizontal="left" vertical="top" wrapText="1"/>
      <protection hidden="0" locked="1"/>
    </xf>
    <xf fontId="8" fillId="2" borderId="2" numFmtId="0" xfId="0" applyFont="1" applyFill="1" applyBorder="1" applyAlignment="1" applyProtection="0">
      <alignment horizontal="center"/>
      <protection hidden="0" locked="1"/>
    </xf>
    <xf fontId="8" fillId="2" borderId="2" numFmtId="0" xfId="0" applyFont="1" applyFill="1" applyBorder="1" applyAlignment="1" applyProtection="0">
      <alignment horizontal="center" wrapText="1"/>
      <protection hidden="0" locked="1"/>
    </xf>
    <xf fontId="1" fillId="0" borderId="2" numFmtId="0" xfId="0" applyFont="1" applyBorder="1" applyProtection="0">
      <protection hidden="0" locked="1"/>
    </xf>
    <xf fontId="1" fillId="0" borderId="2" numFmtId="164" xfId="0" applyNumberFormat="1" applyFont="1" applyBorder="1" applyProtection="0">
      <protection hidden="0" locked="1"/>
    </xf>
    <xf fontId="9" fillId="0" borderId="0" numFmtId="0" xfId="0" applyFont="1" applyAlignment="1" applyProtection="0">
      <alignment vertical="top" wrapText="1"/>
      <protection hidden="0" locked="1"/>
    </xf>
    <xf fontId="10" fillId="0" borderId="2" numFmtId="0" xfId="0" applyFont="1" applyBorder="1" applyProtection="0">
      <protection hidden="0" locked="1"/>
    </xf>
    <xf fontId="10" fillId="0" borderId="2" numFmtId="164" xfId="0" applyNumberFormat="1" applyFont="1" applyBorder="1" applyProtection="0">
      <protection hidden="0" locked="1"/>
    </xf>
    <xf fontId="8" fillId="2" borderId="2" numFmtId="0" xfId="0" applyFont="1" applyFill="1" applyBorder="1" applyProtection="0">
      <protection hidden="0" locked="1"/>
    </xf>
    <xf fontId="10" fillId="0" borderId="2" numFmtId="0" xfId="0" applyFont="1" applyBorder="1" applyAlignment="1" applyProtection="0">
      <alignment vertical="top" wrapText="1"/>
      <protection hidden="0" locked="1"/>
    </xf>
    <xf fontId="1" fillId="0" borderId="2" numFmtId="0" xfId="0" applyFont="1" applyBorder="1" applyAlignment="1" applyProtection="0">
      <alignment vertical="top" wrapText="1"/>
      <protection hidden="0" locked="1"/>
    </xf>
    <xf fontId="11" fillId="0" borderId="0" numFmtId="0" xfId="0" applyFont="1" applyProtection="0">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Requerimientos" ref="B13:F289" headerRowCount="1" totalsRowCount="0">
  <autoFilter ref="B13:F289"/>
  <tableColumns count="5">
    <tableColumn id="1" name="ID"/>
    <tableColumn id="2" name="Módulo"/>
    <tableColumn id="3" name="Submódulo"/>
    <tableColumn id="4" name="Requerimiento"/>
    <tableColumn id="5" name="Actor"/>
  </tableColumns>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278" zoomScale="100" workbookViewId="0">
      <selection activeCell="A1" activeCellId="0" sqref="A1"/>
    </sheetView>
  </sheetViews>
  <sheetFormatPr defaultColWidth="8.6796875" defaultRowHeight="14.25"/>
  <cols>
    <col customWidth="1" min="2" max="2" style="0" width="14.140625"/>
    <col customWidth="1" min="3" max="3" style="0" width="30"/>
    <col customWidth="1" min="4" max="4" style="0" width="26"/>
    <col customWidth="1" min="5" max="5" style="0" width="90"/>
    <col customWidth="1" min="6" max="6" style="0" width="14"/>
  </cols>
  <sheetData>
    <row r="2" ht="16.5">
      <c r="B2" s="1" t="s">
        <v>0</v>
      </c>
    </row>
    <row r="3" ht="16.5">
      <c r="B3" s="2"/>
      <c r="C3" s="3"/>
      <c r="D3" s="3"/>
      <c r="E3" s="3"/>
    </row>
    <row r="4" ht="15">
      <c r="B4" s="4" t="s">
        <v>1</v>
      </c>
      <c r="C4" s="3"/>
      <c r="D4" s="3"/>
      <c r="E4" s="3"/>
    </row>
    <row r="5" ht="15">
      <c r="B5" s="4"/>
      <c r="C5" s="5"/>
      <c r="D5" s="5"/>
      <c r="E5" s="5"/>
    </row>
    <row r="6" ht="15">
      <c r="B6" s="6" t="s">
        <v>2</v>
      </c>
      <c r="C6" s="5"/>
      <c r="D6" s="5"/>
      <c r="E6" s="5"/>
    </row>
    <row r="7" ht="15">
      <c r="B7" s="4" t="s">
        <v>3</v>
      </c>
      <c r="C7" s="5"/>
      <c r="D7" s="5"/>
      <c r="E7" s="5"/>
    </row>
    <row r="8" ht="15">
      <c r="B8" s="4" t="s">
        <v>4</v>
      </c>
      <c r="C8" s="5"/>
      <c r="D8" s="5"/>
      <c r="E8" s="5"/>
    </row>
    <row r="9" ht="15">
      <c r="B9" s="4" t="s">
        <v>5</v>
      </c>
      <c r="C9" s="5"/>
      <c r="D9" s="5"/>
      <c r="E9" s="5"/>
    </row>
    <row r="10" ht="15">
      <c r="B10" s="4" t="s">
        <v>6</v>
      </c>
      <c r="C10" s="5"/>
      <c r="D10" s="5"/>
      <c r="E10" s="5"/>
    </row>
    <row r="11" ht="15">
      <c r="B11" s="4" t="s">
        <v>7</v>
      </c>
      <c r="C11" s="5"/>
      <c r="D11" s="5"/>
      <c r="E11" s="5"/>
    </row>
    <row r="13" ht="15">
      <c r="B13" s="7" t="s">
        <v>8</v>
      </c>
      <c r="C13" s="7" t="s">
        <v>9</v>
      </c>
      <c r="D13" s="7" t="s">
        <v>10</v>
      </c>
      <c r="E13" s="7" t="s">
        <v>11</v>
      </c>
      <c r="F13" s="7" t="s">
        <v>12</v>
      </c>
    </row>
    <row r="14" ht="15">
      <c r="B14" s="8" t="s">
        <v>13</v>
      </c>
      <c r="C14" s="9" t="s">
        <v>14</v>
      </c>
      <c r="D14" s="9" t="s">
        <v>15</v>
      </c>
      <c r="E14" s="9" t="s">
        <v>16</v>
      </c>
      <c r="F14" s="8" t="s">
        <v>17</v>
      </c>
    </row>
    <row r="15" ht="15">
      <c r="B15" s="8" t="s">
        <v>18</v>
      </c>
      <c r="C15" s="9" t="s">
        <v>14</v>
      </c>
      <c r="D15" s="9" t="s">
        <v>15</v>
      </c>
      <c r="E15" s="9" t="s">
        <v>19</v>
      </c>
      <c r="F15" s="8" t="s">
        <v>17</v>
      </c>
    </row>
    <row r="16" ht="15">
      <c r="B16" s="8" t="s">
        <v>20</v>
      </c>
      <c r="C16" s="9" t="s">
        <v>14</v>
      </c>
      <c r="D16" s="9" t="s">
        <v>15</v>
      </c>
      <c r="E16" s="9" t="s">
        <v>21</v>
      </c>
      <c r="F16" s="8" t="s">
        <v>17</v>
      </c>
    </row>
    <row r="17" ht="28.5">
      <c r="B17" s="8" t="s">
        <v>22</v>
      </c>
      <c r="C17" s="9" t="s">
        <v>14</v>
      </c>
      <c r="D17" s="9" t="s">
        <v>15</v>
      </c>
      <c r="E17" s="9" t="s">
        <v>23</v>
      </c>
      <c r="F17" s="8" t="s">
        <v>24</v>
      </c>
    </row>
    <row r="18" ht="28.5">
      <c r="B18" s="8" t="s">
        <v>25</v>
      </c>
      <c r="C18" s="9" t="s">
        <v>14</v>
      </c>
      <c r="D18" s="9" t="s">
        <v>15</v>
      </c>
      <c r="E18" s="9" t="s">
        <v>26</v>
      </c>
      <c r="F18" s="8" t="s">
        <v>27</v>
      </c>
    </row>
    <row r="19" ht="28.5">
      <c r="B19" s="8" t="s">
        <v>28</v>
      </c>
      <c r="C19" s="9" t="s">
        <v>14</v>
      </c>
      <c r="D19" s="9" t="s">
        <v>15</v>
      </c>
      <c r="E19" s="9" t="s">
        <v>29</v>
      </c>
      <c r="F19" s="8" t="s">
        <v>27</v>
      </c>
    </row>
    <row r="20" ht="28.5">
      <c r="B20" s="8" t="s">
        <v>30</v>
      </c>
      <c r="C20" s="9" t="s">
        <v>14</v>
      </c>
      <c r="D20" s="9" t="s">
        <v>15</v>
      </c>
      <c r="E20" s="9" t="s">
        <v>31</v>
      </c>
      <c r="F20" s="8" t="s">
        <v>27</v>
      </c>
    </row>
    <row r="21" ht="28.5">
      <c r="B21" s="8" t="s">
        <v>32</v>
      </c>
      <c r="C21" s="9" t="s">
        <v>14</v>
      </c>
      <c r="D21" s="9" t="s">
        <v>15</v>
      </c>
      <c r="E21" s="9" t="s">
        <v>33</v>
      </c>
      <c r="F21" s="8" t="s">
        <v>27</v>
      </c>
    </row>
    <row r="22" ht="15">
      <c r="B22" s="8" t="s">
        <v>34</v>
      </c>
      <c r="C22" s="9" t="s">
        <v>14</v>
      </c>
      <c r="D22" s="9" t="s">
        <v>15</v>
      </c>
      <c r="E22" s="9" t="s">
        <v>35</v>
      </c>
      <c r="F22" s="8" t="s">
        <v>27</v>
      </c>
    </row>
    <row r="23" ht="15">
      <c r="B23" s="8" t="s">
        <v>36</v>
      </c>
      <c r="C23" s="9" t="s">
        <v>37</v>
      </c>
      <c r="D23" s="9" t="s">
        <v>15</v>
      </c>
      <c r="E23" s="9" t="s">
        <v>38</v>
      </c>
      <c r="F23" s="8" t="s">
        <v>17</v>
      </c>
    </row>
    <row r="24" ht="15">
      <c r="B24" s="8" t="s">
        <v>39</v>
      </c>
      <c r="C24" s="9" t="s">
        <v>37</v>
      </c>
      <c r="D24" s="9" t="s">
        <v>15</v>
      </c>
      <c r="E24" s="9" t="s">
        <v>40</v>
      </c>
      <c r="F24" s="8" t="s">
        <v>17</v>
      </c>
    </row>
    <row r="25" ht="15">
      <c r="B25" s="8" t="s">
        <v>41</v>
      </c>
      <c r="C25" s="9" t="s">
        <v>37</v>
      </c>
      <c r="D25" s="9" t="s">
        <v>15</v>
      </c>
      <c r="E25" s="9" t="s">
        <v>42</v>
      </c>
      <c r="F25" s="8" t="s">
        <v>17</v>
      </c>
    </row>
    <row r="26" ht="28.5">
      <c r="B26" s="8" t="s">
        <v>43</v>
      </c>
      <c r="C26" s="9" t="s">
        <v>37</v>
      </c>
      <c r="D26" s="9" t="s">
        <v>15</v>
      </c>
      <c r="E26" s="9" t="s">
        <v>44</v>
      </c>
      <c r="F26" s="8" t="s">
        <v>17</v>
      </c>
    </row>
    <row r="27" ht="28.5">
      <c r="B27" s="8" t="s">
        <v>45</v>
      </c>
      <c r="C27" s="9" t="s">
        <v>37</v>
      </c>
      <c r="D27" s="9" t="s">
        <v>15</v>
      </c>
      <c r="E27" s="9" t="s">
        <v>46</v>
      </c>
      <c r="F27" s="8" t="s">
        <v>17</v>
      </c>
    </row>
    <row r="28" ht="15">
      <c r="B28" s="8" t="s">
        <v>47</v>
      </c>
      <c r="C28" s="9" t="s">
        <v>37</v>
      </c>
      <c r="D28" s="9" t="s">
        <v>15</v>
      </c>
      <c r="E28" s="9" t="s">
        <v>48</v>
      </c>
      <c r="F28" s="8" t="s">
        <v>17</v>
      </c>
    </row>
    <row r="29" ht="15">
      <c r="B29" s="8" t="s">
        <v>49</v>
      </c>
      <c r="C29" s="9" t="s">
        <v>37</v>
      </c>
      <c r="D29" s="9" t="s">
        <v>15</v>
      </c>
      <c r="E29" s="9" t="s">
        <v>50</v>
      </c>
      <c r="F29" s="8" t="s">
        <v>27</v>
      </c>
    </row>
    <row r="30" ht="28.5">
      <c r="B30" s="8" t="s">
        <v>51</v>
      </c>
      <c r="C30" s="9" t="s">
        <v>37</v>
      </c>
      <c r="D30" s="9" t="s">
        <v>15</v>
      </c>
      <c r="E30" s="9" t="s">
        <v>52</v>
      </c>
      <c r="F30" s="8" t="s">
        <v>17</v>
      </c>
    </row>
    <row r="31" ht="28.5">
      <c r="B31" s="8" t="s">
        <v>53</v>
      </c>
      <c r="C31" s="9" t="s">
        <v>37</v>
      </c>
      <c r="D31" s="9" t="s">
        <v>15</v>
      </c>
      <c r="E31" s="9" t="s">
        <v>54</v>
      </c>
      <c r="F31" s="8" t="s">
        <v>17</v>
      </c>
    </row>
    <row r="32" ht="28.5">
      <c r="B32" s="8" t="s">
        <v>55</v>
      </c>
      <c r="C32" s="9" t="s">
        <v>37</v>
      </c>
      <c r="D32" s="9" t="s">
        <v>15</v>
      </c>
      <c r="E32" s="9" t="s">
        <v>56</v>
      </c>
      <c r="F32" s="8" t="s">
        <v>17</v>
      </c>
    </row>
    <row r="33" ht="15">
      <c r="B33" s="8" t="s">
        <v>57</v>
      </c>
      <c r="C33" s="9" t="s">
        <v>37</v>
      </c>
      <c r="D33" s="9" t="s">
        <v>15</v>
      </c>
      <c r="E33" s="9" t="s">
        <v>58</v>
      </c>
      <c r="F33" s="8" t="s">
        <v>27</v>
      </c>
    </row>
    <row r="34" ht="15">
      <c r="B34" s="8" t="s">
        <v>59</v>
      </c>
      <c r="C34" s="9" t="s">
        <v>37</v>
      </c>
      <c r="D34" s="9" t="s">
        <v>15</v>
      </c>
      <c r="E34" s="9" t="s">
        <v>60</v>
      </c>
      <c r="F34" s="8" t="s">
        <v>17</v>
      </c>
    </row>
    <row r="35" ht="15">
      <c r="B35" s="8" t="s">
        <v>61</v>
      </c>
      <c r="C35" s="9" t="s">
        <v>37</v>
      </c>
      <c r="D35" s="9" t="s">
        <v>15</v>
      </c>
      <c r="E35" s="9" t="s">
        <v>62</v>
      </c>
      <c r="F35" s="8" t="s">
        <v>27</v>
      </c>
    </row>
    <row r="36" ht="28.5">
      <c r="B36" s="8" t="s">
        <v>63</v>
      </c>
      <c r="C36" s="9" t="s">
        <v>37</v>
      </c>
      <c r="D36" s="9" t="s">
        <v>15</v>
      </c>
      <c r="E36" s="9" t="s">
        <v>64</v>
      </c>
      <c r="F36" s="8" t="s">
        <v>27</v>
      </c>
    </row>
    <row r="37" ht="28.5">
      <c r="B37" s="8" t="s">
        <v>65</v>
      </c>
      <c r="C37" s="9" t="s">
        <v>37</v>
      </c>
      <c r="D37" s="9" t="s">
        <v>15</v>
      </c>
      <c r="E37" s="9" t="s">
        <v>66</v>
      </c>
      <c r="F37" s="8" t="s">
        <v>17</v>
      </c>
    </row>
    <row r="38" ht="28.5">
      <c r="B38" s="8" t="s">
        <v>67</v>
      </c>
      <c r="C38" s="9" t="s">
        <v>37</v>
      </c>
      <c r="D38" s="9" t="s">
        <v>15</v>
      </c>
      <c r="E38" s="9" t="s">
        <v>68</v>
      </c>
      <c r="F38" s="8" t="s">
        <v>17</v>
      </c>
    </row>
    <row r="39" ht="28.5">
      <c r="B39" s="8" t="s">
        <v>69</v>
      </c>
      <c r="C39" s="9" t="s">
        <v>37</v>
      </c>
      <c r="D39" s="9" t="s">
        <v>15</v>
      </c>
      <c r="E39" s="9" t="s">
        <v>70</v>
      </c>
      <c r="F39" s="8" t="s">
        <v>17</v>
      </c>
    </row>
    <row r="40" ht="15">
      <c r="B40" s="8" t="s">
        <v>71</v>
      </c>
      <c r="C40" s="9" t="s">
        <v>37</v>
      </c>
      <c r="D40" s="9" t="s">
        <v>15</v>
      </c>
      <c r="E40" s="9" t="s">
        <v>72</v>
      </c>
      <c r="F40" s="8" t="s">
        <v>17</v>
      </c>
    </row>
    <row r="41" ht="28.5">
      <c r="B41" s="8" t="s">
        <v>73</v>
      </c>
      <c r="C41" s="9" t="s">
        <v>37</v>
      </c>
      <c r="D41" s="9" t="s">
        <v>15</v>
      </c>
      <c r="E41" s="9" t="s">
        <v>74</v>
      </c>
      <c r="F41" s="8" t="s">
        <v>17</v>
      </c>
    </row>
    <row r="42" ht="15">
      <c r="B42" s="8" t="s">
        <v>75</v>
      </c>
      <c r="C42" s="9" t="s">
        <v>37</v>
      </c>
      <c r="D42" s="9" t="s">
        <v>15</v>
      </c>
      <c r="E42" s="9" t="s">
        <v>76</v>
      </c>
      <c r="F42" s="8" t="s">
        <v>27</v>
      </c>
    </row>
    <row r="43" ht="28.5">
      <c r="B43" s="8" t="s">
        <v>77</v>
      </c>
      <c r="C43" s="9" t="s">
        <v>37</v>
      </c>
      <c r="D43" s="9" t="s">
        <v>15</v>
      </c>
      <c r="E43" s="9" t="s">
        <v>78</v>
      </c>
      <c r="F43" s="8" t="s">
        <v>27</v>
      </c>
    </row>
    <row r="44" ht="15">
      <c r="B44" s="8" t="s">
        <v>79</v>
      </c>
      <c r="C44" s="9" t="s">
        <v>37</v>
      </c>
      <c r="D44" s="9" t="s">
        <v>15</v>
      </c>
      <c r="E44" s="9" t="s">
        <v>80</v>
      </c>
      <c r="F44" s="8" t="s">
        <v>17</v>
      </c>
    </row>
    <row r="45" ht="15">
      <c r="B45" s="8" t="s">
        <v>81</v>
      </c>
      <c r="C45" s="9" t="s">
        <v>37</v>
      </c>
      <c r="D45" s="9" t="s">
        <v>15</v>
      </c>
      <c r="E45" s="9" t="s">
        <v>82</v>
      </c>
      <c r="F45" s="8" t="s">
        <v>17</v>
      </c>
    </row>
    <row r="46" ht="28.5">
      <c r="B46" s="8" t="s">
        <v>83</v>
      </c>
      <c r="C46" s="9" t="s">
        <v>37</v>
      </c>
      <c r="D46" s="9" t="s">
        <v>15</v>
      </c>
      <c r="E46" s="9" t="s">
        <v>84</v>
      </c>
      <c r="F46" s="8" t="s">
        <v>27</v>
      </c>
    </row>
    <row r="47" ht="28.5">
      <c r="B47" s="8" t="s">
        <v>85</v>
      </c>
      <c r="C47" s="9" t="s">
        <v>86</v>
      </c>
      <c r="D47" s="9" t="s">
        <v>15</v>
      </c>
      <c r="E47" s="9" t="s">
        <v>87</v>
      </c>
      <c r="F47" s="8" t="s">
        <v>17</v>
      </c>
    </row>
    <row r="48" ht="28.5">
      <c r="B48" s="8" t="s">
        <v>88</v>
      </c>
      <c r="C48" s="9" t="s">
        <v>86</v>
      </c>
      <c r="D48" s="9" t="s">
        <v>15</v>
      </c>
      <c r="E48" s="9" t="s">
        <v>89</v>
      </c>
      <c r="F48" s="8" t="s">
        <v>17</v>
      </c>
    </row>
    <row r="49" ht="28.5">
      <c r="B49" s="8" t="s">
        <v>90</v>
      </c>
      <c r="C49" s="9" t="s">
        <v>86</v>
      </c>
      <c r="D49" s="9" t="s">
        <v>15</v>
      </c>
      <c r="E49" s="9" t="s">
        <v>91</v>
      </c>
      <c r="F49" s="8" t="s">
        <v>17</v>
      </c>
    </row>
    <row r="50" ht="28.5">
      <c r="B50" s="8" t="s">
        <v>92</v>
      </c>
      <c r="C50" s="9" t="s">
        <v>86</v>
      </c>
      <c r="D50" s="9" t="s">
        <v>15</v>
      </c>
      <c r="E50" s="9" t="s">
        <v>93</v>
      </c>
      <c r="F50" s="8" t="s">
        <v>17</v>
      </c>
    </row>
    <row r="51" ht="28.5">
      <c r="B51" s="8" t="s">
        <v>94</v>
      </c>
      <c r="C51" s="9" t="s">
        <v>86</v>
      </c>
      <c r="D51" s="9" t="s">
        <v>15</v>
      </c>
      <c r="E51" s="9" t="s">
        <v>95</v>
      </c>
      <c r="F51" s="8" t="s">
        <v>17</v>
      </c>
    </row>
    <row r="52" ht="28.5">
      <c r="B52" s="8" t="s">
        <v>96</v>
      </c>
      <c r="C52" s="9" t="s">
        <v>86</v>
      </c>
      <c r="D52" s="9" t="s">
        <v>15</v>
      </c>
      <c r="E52" s="9" t="s">
        <v>97</v>
      </c>
      <c r="F52" s="8" t="s">
        <v>27</v>
      </c>
    </row>
    <row r="53" ht="28.5">
      <c r="B53" s="8" t="s">
        <v>98</v>
      </c>
      <c r="C53" s="9" t="s">
        <v>86</v>
      </c>
      <c r="D53" s="9" t="s">
        <v>15</v>
      </c>
      <c r="E53" s="9" t="s">
        <v>99</v>
      </c>
      <c r="F53" s="8" t="s">
        <v>17</v>
      </c>
    </row>
    <row r="54" ht="28.5">
      <c r="B54" s="8" t="s">
        <v>100</v>
      </c>
      <c r="C54" s="9" t="s">
        <v>86</v>
      </c>
      <c r="D54" s="9" t="s">
        <v>15</v>
      </c>
      <c r="E54" s="9" t="s">
        <v>101</v>
      </c>
      <c r="F54" s="8" t="s">
        <v>17</v>
      </c>
    </row>
    <row r="55" ht="28.5">
      <c r="B55" s="8" t="s">
        <v>102</v>
      </c>
      <c r="C55" s="9" t="s">
        <v>86</v>
      </c>
      <c r="D55" s="9" t="s">
        <v>15</v>
      </c>
      <c r="E55" s="9" t="s">
        <v>103</v>
      </c>
      <c r="F55" s="8" t="s">
        <v>27</v>
      </c>
    </row>
    <row r="56" ht="28.5">
      <c r="B56" s="8" t="s">
        <v>104</v>
      </c>
      <c r="C56" s="9" t="s">
        <v>86</v>
      </c>
      <c r="D56" s="9" t="s">
        <v>15</v>
      </c>
      <c r="E56" s="9" t="s">
        <v>105</v>
      </c>
      <c r="F56" s="8" t="s">
        <v>27</v>
      </c>
    </row>
    <row r="57" ht="28.5">
      <c r="B57" s="8" t="s">
        <v>106</v>
      </c>
      <c r="C57" s="9" t="s">
        <v>86</v>
      </c>
      <c r="D57" s="9" t="s">
        <v>15</v>
      </c>
      <c r="E57" s="9" t="s">
        <v>107</v>
      </c>
      <c r="F57" s="8" t="s">
        <v>17</v>
      </c>
    </row>
    <row r="58" ht="42.75">
      <c r="B58" s="8" t="s">
        <v>108</v>
      </c>
      <c r="C58" s="9" t="s">
        <v>86</v>
      </c>
      <c r="D58" s="9" t="s">
        <v>15</v>
      </c>
      <c r="E58" s="9" t="s">
        <v>109</v>
      </c>
      <c r="F58" s="8" t="s">
        <v>27</v>
      </c>
    </row>
    <row r="59" ht="28.5">
      <c r="B59" s="8" t="s">
        <v>110</v>
      </c>
      <c r="C59" s="9" t="s">
        <v>86</v>
      </c>
      <c r="D59" s="9" t="s">
        <v>15</v>
      </c>
      <c r="E59" s="9" t="s">
        <v>111</v>
      </c>
      <c r="F59" s="8" t="s">
        <v>27</v>
      </c>
    </row>
    <row r="60" ht="28.5">
      <c r="B60" s="8" t="s">
        <v>112</v>
      </c>
      <c r="C60" s="9" t="s">
        <v>86</v>
      </c>
      <c r="D60" s="9" t="s">
        <v>15</v>
      </c>
      <c r="E60" s="9" t="s">
        <v>113</v>
      </c>
      <c r="F60" s="8" t="s">
        <v>27</v>
      </c>
    </row>
    <row r="61" ht="28.5">
      <c r="B61" s="8" t="s">
        <v>114</v>
      </c>
      <c r="C61" s="9" t="s">
        <v>86</v>
      </c>
      <c r="D61" s="9" t="s">
        <v>15</v>
      </c>
      <c r="E61" s="9" t="s">
        <v>115</v>
      </c>
      <c r="F61" s="8" t="s">
        <v>27</v>
      </c>
    </row>
    <row r="62" ht="28.5">
      <c r="B62" s="8" t="s">
        <v>116</v>
      </c>
      <c r="C62" s="9" t="s">
        <v>86</v>
      </c>
      <c r="D62" s="9" t="s">
        <v>15</v>
      </c>
      <c r="E62" s="9" t="s">
        <v>117</v>
      </c>
      <c r="F62" s="8" t="s">
        <v>27</v>
      </c>
    </row>
    <row r="63" ht="28.5">
      <c r="B63" s="8" t="s">
        <v>118</v>
      </c>
      <c r="C63" s="9" t="s">
        <v>86</v>
      </c>
      <c r="D63" s="9" t="s">
        <v>15</v>
      </c>
      <c r="E63" s="9" t="s">
        <v>119</v>
      </c>
      <c r="F63" s="8" t="s">
        <v>27</v>
      </c>
    </row>
    <row r="64" ht="28.5">
      <c r="B64" s="8" t="s">
        <v>120</v>
      </c>
      <c r="C64" s="9" t="s">
        <v>86</v>
      </c>
      <c r="D64" s="9" t="s">
        <v>15</v>
      </c>
      <c r="E64" s="9" t="s">
        <v>121</v>
      </c>
      <c r="F64" s="8" t="s">
        <v>27</v>
      </c>
    </row>
    <row r="65" ht="25.5">
      <c r="B65" s="8" t="s">
        <v>122</v>
      </c>
      <c r="C65" s="9" t="s">
        <v>123</v>
      </c>
      <c r="D65" s="9" t="s">
        <v>15</v>
      </c>
      <c r="E65" s="9" t="s">
        <v>124</v>
      </c>
      <c r="F65" s="8" t="s">
        <v>125</v>
      </c>
    </row>
    <row r="66" ht="15">
      <c r="B66" s="8" t="s">
        <v>126</v>
      </c>
      <c r="C66" s="9" t="s">
        <v>123</v>
      </c>
      <c r="D66" s="9" t="s">
        <v>15</v>
      </c>
      <c r="E66" s="9" t="s">
        <v>127</v>
      </c>
      <c r="F66" s="8" t="s">
        <v>125</v>
      </c>
    </row>
    <row r="67" ht="15">
      <c r="B67" s="8" t="s">
        <v>128</v>
      </c>
      <c r="C67" s="9" t="s">
        <v>123</v>
      </c>
      <c r="D67" s="9" t="s">
        <v>15</v>
      </c>
      <c r="E67" s="9" t="s">
        <v>129</v>
      </c>
      <c r="F67" s="8" t="s">
        <v>125</v>
      </c>
    </row>
    <row r="68" ht="15">
      <c r="B68" s="8" t="s">
        <v>130</v>
      </c>
      <c r="C68" s="9" t="s">
        <v>123</v>
      </c>
      <c r="D68" s="9" t="s">
        <v>15</v>
      </c>
      <c r="E68" s="9" t="s">
        <v>131</v>
      </c>
      <c r="F68" s="8" t="s">
        <v>27</v>
      </c>
    </row>
    <row r="69" ht="25.5">
      <c r="B69" s="8" t="s">
        <v>132</v>
      </c>
      <c r="C69" s="9" t="s">
        <v>123</v>
      </c>
      <c r="D69" s="9" t="s">
        <v>15</v>
      </c>
      <c r="E69" s="9" t="s">
        <v>133</v>
      </c>
      <c r="F69" s="8" t="s">
        <v>27</v>
      </c>
    </row>
    <row r="70" ht="15">
      <c r="B70" s="8" t="s">
        <v>134</v>
      </c>
      <c r="C70" s="9" t="s">
        <v>123</v>
      </c>
      <c r="D70" s="9" t="s">
        <v>15</v>
      </c>
      <c r="E70" s="9" t="s">
        <v>135</v>
      </c>
      <c r="F70" s="8" t="s">
        <v>27</v>
      </c>
    </row>
    <row r="71" ht="15">
      <c r="B71" s="8" t="s">
        <v>136</v>
      </c>
      <c r="C71" s="9" t="s">
        <v>123</v>
      </c>
      <c r="D71" s="9" t="s">
        <v>15</v>
      </c>
      <c r="E71" s="9" t="s">
        <v>137</v>
      </c>
      <c r="F71" s="8" t="s">
        <v>125</v>
      </c>
    </row>
    <row r="72" ht="25.5">
      <c r="B72" s="8" t="s">
        <v>138</v>
      </c>
      <c r="C72" s="9" t="s">
        <v>123</v>
      </c>
      <c r="D72" s="9" t="s">
        <v>15</v>
      </c>
      <c r="E72" s="9" t="s">
        <v>139</v>
      </c>
      <c r="F72" s="8" t="s">
        <v>27</v>
      </c>
    </row>
    <row r="73" ht="25.5">
      <c r="B73" s="8" t="s">
        <v>140</v>
      </c>
      <c r="C73" s="9" t="s">
        <v>123</v>
      </c>
      <c r="D73" s="9" t="s">
        <v>15</v>
      </c>
      <c r="E73" s="9" t="s">
        <v>141</v>
      </c>
      <c r="F73" s="8" t="s">
        <v>27</v>
      </c>
    </row>
    <row r="74" ht="15">
      <c r="B74" s="8" t="s">
        <v>142</v>
      </c>
      <c r="C74" s="9" t="s">
        <v>143</v>
      </c>
      <c r="D74" s="9" t="s">
        <v>144</v>
      </c>
      <c r="E74" s="9" t="s">
        <v>145</v>
      </c>
      <c r="F74" s="8" t="s">
        <v>27</v>
      </c>
    </row>
    <row r="75" ht="15">
      <c r="B75" s="8" t="s">
        <v>146</v>
      </c>
      <c r="C75" s="9" t="s">
        <v>143</v>
      </c>
      <c r="D75" s="9" t="s">
        <v>144</v>
      </c>
      <c r="E75" s="9" t="s">
        <v>147</v>
      </c>
      <c r="F75" s="8" t="s">
        <v>125</v>
      </c>
    </row>
    <row r="76" ht="15">
      <c r="B76" s="8" t="s">
        <v>148</v>
      </c>
      <c r="C76" s="9" t="s">
        <v>143</v>
      </c>
      <c r="D76" s="9" t="s">
        <v>144</v>
      </c>
      <c r="E76" s="9" t="s">
        <v>149</v>
      </c>
      <c r="F76" s="8" t="s">
        <v>150</v>
      </c>
    </row>
    <row r="77" ht="23.850000000000001">
      <c r="B77" s="8" t="s">
        <v>151</v>
      </c>
      <c r="C77" s="9" t="s">
        <v>143</v>
      </c>
      <c r="D77" s="9" t="s">
        <v>144</v>
      </c>
      <c r="E77" s="9" t="s">
        <v>152</v>
      </c>
      <c r="F77" s="8" t="s">
        <v>27</v>
      </c>
    </row>
    <row r="78" ht="23.850000000000001">
      <c r="B78" s="8" t="s">
        <v>153</v>
      </c>
      <c r="C78" s="9" t="s">
        <v>143</v>
      </c>
      <c r="D78" s="9" t="s">
        <v>144</v>
      </c>
      <c r="E78" s="9" t="s">
        <v>154</v>
      </c>
      <c r="F78" s="8" t="s">
        <v>27</v>
      </c>
    </row>
    <row r="79" ht="15">
      <c r="B79" s="8" t="s">
        <v>155</v>
      </c>
      <c r="C79" s="9" t="s">
        <v>143</v>
      </c>
      <c r="D79" s="9" t="s">
        <v>144</v>
      </c>
      <c r="E79" s="9" t="s">
        <v>156</v>
      </c>
      <c r="F79" s="8" t="s">
        <v>125</v>
      </c>
    </row>
    <row r="80" ht="15">
      <c r="B80" s="8" t="s">
        <v>157</v>
      </c>
      <c r="C80" s="9" t="s">
        <v>143</v>
      </c>
      <c r="D80" s="9" t="s">
        <v>144</v>
      </c>
      <c r="E80" s="9" t="s">
        <v>158</v>
      </c>
      <c r="F80" s="8" t="s">
        <v>27</v>
      </c>
    </row>
    <row r="81" ht="23.850000000000001">
      <c r="B81" s="8" t="s">
        <v>159</v>
      </c>
      <c r="C81" s="9" t="s">
        <v>143</v>
      </c>
      <c r="D81" s="9" t="s">
        <v>160</v>
      </c>
      <c r="E81" s="9" t="s">
        <v>161</v>
      </c>
      <c r="F81" s="8" t="s">
        <v>162</v>
      </c>
    </row>
    <row r="82" ht="23.850000000000001">
      <c r="B82" s="8" t="s">
        <v>163</v>
      </c>
      <c r="C82" s="9" t="s">
        <v>143</v>
      </c>
      <c r="D82" s="9" t="s">
        <v>160</v>
      </c>
      <c r="E82" s="9" t="s">
        <v>164</v>
      </c>
      <c r="F82" s="8" t="s">
        <v>27</v>
      </c>
    </row>
    <row r="83" ht="15">
      <c r="B83" s="8" t="s">
        <v>165</v>
      </c>
      <c r="C83" s="9" t="s">
        <v>143</v>
      </c>
      <c r="D83" s="9" t="s">
        <v>160</v>
      </c>
      <c r="E83" s="9" t="s">
        <v>166</v>
      </c>
      <c r="F83" s="8" t="s">
        <v>162</v>
      </c>
    </row>
    <row r="84" ht="15">
      <c r="B84" s="8" t="s">
        <v>167</v>
      </c>
      <c r="C84" s="9" t="s">
        <v>143</v>
      </c>
      <c r="D84" s="9" t="s">
        <v>160</v>
      </c>
      <c r="E84" s="9" t="s">
        <v>168</v>
      </c>
      <c r="F84" s="8" t="s">
        <v>162</v>
      </c>
    </row>
    <row r="85" ht="15">
      <c r="B85" s="8" t="s">
        <v>169</v>
      </c>
      <c r="C85" s="9" t="s">
        <v>143</v>
      </c>
      <c r="D85" s="9" t="s">
        <v>160</v>
      </c>
      <c r="E85" s="9" t="s">
        <v>170</v>
      </c>
      <c r="F85" s="8" t="s">
        <v>162</v>
      </c>
    </row>
    <row r="86" ht="15">
      <c r="B86" s="8" t="s">
        <v>171</v>
      </c>
      <c r="C86" s="9" t="s">
        <v>143</v>
      </c>
      <c r="D86" s="9" t="s">
        <v>160</v>
      </c>
      <c r="E86" s="9" t="s">
        <v>172</v>
      </c>
      <c r="F86" s="8" t="s">
        <v>27</v>
      </c>
    </row>
    <row r="87" ht="23.850000000000001">
      <c r="B87" s="8" t="s">
        <v>173</v>
      </c>
      <c r="C87" s="9" t="s">
        <v>143</v>
      </c>
      <c r="D87" s="9" t="s">
        <v>160</v>
      </c>
      <c r="E87" s="9" t="s">
        <v>174</v>
      </c>
      <c r="F87" s="8" t="s">
        <v>162</v>
      </c>
    </row>
    <row r="88" ht="15">
      <c r="B88" s="8" t="s">
        <v>175</v>
      </c>
      <c r="C88" s="9" t="s">
        <v>143</v>
      </c>
      <c r="D88" s="9" t="s">
        <v>160</v>
      </c>
      <c r="E88" s="9" t="s">
        <v>176</v>
      </c>
      <c r="F88" s="8" t="s">
        <v>162</v>
      </c>
    </row>
    <row r="89" ht="15">
      <c r="B89" s="8" t="s">
        <v>177</v>
      </c>
      <c r="C89" s="9" t="s">
        <v>143</v>
      </c>
      <c r="D89" s="9" t="s">
        <v>178</v>
      </c>
      <c r="E89" s="9" t="s">
        <v>179</v>
      </c>
      <c r="F89" s="8" t="s">
        <v>180</v>
      </c>
    </row>
    <row r="90" ht="23.850000000000001">
      <c r="B90" s="8" t="s">
        <v>181</v>
      </c>
      <c r="C90" s="9" t="s">
        <v>143</v>
      </c>
      <c r="D90" s="9" t="s">
        <v>178</v>
      </c>
      <c r="E90" s="9" t="s">
        <v>182</v>
      </c>
      <c r="F90" s="8" t="s">
        <v>27</v>
      </c>
    </row>
    <row r="91" ht="23.850000000000001">
      <c r="B91" s="8" t="s">
        <v>183</v>
      </c>
      <c r="C91" s="9" t="s">
        <v>143</v>
      </c>
      <c r="D91" s="9" t="s">
        <v>178</v>
      </c>
      <c r="E91" s="9" t="s">
        <v>184</v>
      </c>
      <c r="F91" s="8" t="s">
        <v>27</v>
      </c>
    </row>
    <row r="92" ht="15">
      <c r="B92" s="8" t="s">
        <v>185</v>
      </c>
      <c r="C92" s="9" t="s">
        <v>143</v>
      </c>
      <c r="D92" s="9" t="s">
        <v>178</v>
      </c>
      <c r="E92" s="9" t="s">
        <v>186</v>
      </c>
      <c r="F92" s="8" t="s">
        <v>27</v>
      </c>
    </row>
    <row r="93" ht="15">
      <c r="B93" s="8" t="s">
        <v>187</v>
      </c>
      <c r="C93" s="9" t="s">
        <v>143</v>
      </c>
      <c r="D93" s="9" t="s">
        <v>178</v>
      </c>
      <c r="E93" s="9" t="s">
        <v>188</v>
      </c>
      <c r="F93" s="8" t="s">
        <v>180</v>
      </c>
    </row>
    <row r="94" ht="23.850000000000001">
      <c r="B94" s="8" t="s">
        <v>189</v>
      </c>
      <c r="C94" s="9" t="s">
        <v>143</v>
      </c>
      <c r="D94" s="9" t="s">
        <v>178</v>
      </c>
      <c r="E94" s="9" t="s">
        <v>190</v>
      </c>
      <c r="F94" s="8" t="s">
        <v>180</v>
      </c>
    </row>
    <row r="95" ht="23.850000000000001">
      <c r="B95" s="8" t="s">
        <v>191</v>
      </c>
      <c r="C95" s="9" t="s">
        <v>143</v>
      </c>
      <c r="D95" s="9" t="s">
        <v>178</v>
      </c>
      <c r="E95" s="9" t="s">
        <v>192</v>
      </c>
      <c r="F95" s="8" t="s">
        <v>180</v>
      </c>
    </row>
    <row r="96" ht="15">
      <c r="B96" s="8" t="s">
        <v>193</v>
      </c>
      <c r="C96" s="9" t="s">
        <v>143</v>
      </c>
      <c r="D96" s="9" t="s">
        <v>178</v>
      </c>
      <c r="E96" s="9" t="s">
        <v>194</v>
      </c>
      <c r="F96" s="8" t="s">
        <v>27</v>
      </c>
    </row>
    <row r="97" ht="15">
      <c r="B97" s="8" t="s">
        <v>195</v>
      </c>
      <c r="C97" s="9" t="s">
        <v>143</v>
      </c>
      <c r="D97" s="9" t="s">
        <v>178</v>
      </c>
      <c r="E97" s="9" t="s">
        <v>196</v>
      </c>
      <c r="F97" s="8" t="s">
        <v>27</v>
      </c>
    </row>
    <row r="98" ht="15">
      <c r="B98" s="8" t="s">
        <v>197</v>
      </c>
      <c r="C98" s="9" t="s">
        <v>198</v>
      </c>
      <c r="D98" s="9" t="s">
        <v>15</v>
      </c>
      <c r="E98" s="9" t="s">
        <v>199</v>
      </c>
      <c r="F98" s="8" t="s">
        <v>180</v>
      </c>
    </row>
    <row r="99" ht="15">
      <c r="B99" s="8" t="s">
        <v>200</v>
      </c>
      <c r="C99" s="9" t="s">
        <v>198</v>
      </c>
      <c r="D99" s="9" t="s">
        <v>15</v>
      </c>
      <c r="E99" s="9" t="s">
        <v>201</v>
      </c>
      <c r="F99" s="8" t="s">
        <v>180</v>
      </c>
    </row>
    <row r="100" ht="23.850000000000001">
      <c r="B100" s="8" t="s">
        <v>202</v>
      </c>
      <c r="C100" s="9" t="s">
        <v>198</v>
      </c>
      <c r="D100" s="9" t="s">
        <v>15</v>
      </c>
      <c r="E100" s="9" t="s">
        <v>203</v>
      </c>
      <c r="F100" s="8" t="s">
        <v>27</v>
      </c>
    </row>
    <row r="101" ht="15">
      <c r="B101" s="8" t="s">
        <v>204</v>
      </c>
      <c r="C101" s="9" t="s">
        <v>198</v>
      </c>
      <c r="D101" s="9" t="s">
        <v>15</v>
      </c>
      <c r="E101" s="9" t="s">
        <v>205</v>
      </c>
      <c r="F101" s="8" t="s">
        <v>27</v>
      </c>
    </row>
    <row r="102" ht="23.850000000000001">
      <c r="B102" s="8" t="s">
        <v>206</v>
      </c>
      <c r="C102" s="9" t="s">
        <v>198</v>
      </c>
      <c r="D102" s="9" t="s">
        <v>15</v>
      </c>
      <c r="E102" s="9" t="s">
        <v>207</v>
      </c>
      <c r="F102" s="8" t="s">
        <v>27</v>
      </c>
    </row>
    <row r="103" ht="15">
      <c r="B103" s="8" t="s">
        <v>208</v>
      </c>
      <c r="C103" s="9" t="s">
        <v>198</v>
      </c>
      <c r="D103" s="9" t="s">
        <v>15</v>
      </c>
      <c r="E103" s="9" t="s">
        <v>209</v>
      </c>
      <c r="F103" s="8" t="s">
        <v>162</v>
      </c>
    </row>
    <row r="104" ht="23.850000000000001">
      <c r="B104" s="8" t="s">
        <v>210</v>
      </c>
      <c r="C104" s="9" t="s">
        <v>198</v>
      </c>
      <c r="D104" s="9" t="s">
        <v>15</v>
      </c>
      <c r="E104" s="9" t="s">
        <v>211</v>
      </c>
      <c r="F104" s="8" t="s">
        <v>180</v>
      </c>
    </row>
    <row r="105" ht="15">
      <c r="B105" s="8" t="s">
        <v>212</v>
      </c>
      <c r="C105" s="9" t="s">
        <v>198</v>
      </c>
      <c r="D105" s="9" t="s">
        <v>15</v>
      </c>
      <c r="E105" s="9" t="s">
        <v>213</v>
      </c>
      <c r="F105" s="8" t="s">
        <v>180</v>
      </c>
    </row>
    <row r="106" ht="23.850000000000001">
      <c r="B106" s="8" t="s">
        <v>214</v>
      </c>
      <c r="C106" s="9" t="s">
        <v>198</v>
      </c>
      <c r="D106" s="9" t="s">
        <v>15</v>
      </c>
      <c r="E106" s="9" t="s">
        <v>215</v>
      </c>
      <c r="F106" s="8" t="s">
        <v>180</v>
      </c>
    </row>
    <row r="107" ht="15">
      <c r="B107" s="8" t="s">
        <v>216</v>
      </c>
      <c r="C107" s="9" t="s">
        <v>198</v>
      </c>
      <c r="D107" s="9" t="s">
        <v>15</v>
      </c>
      <c r="E107" s="9" t="s">
        <v>217</v>
      </c>
      <c r="F107" s="8" t="s">
        <v>180</v>
      </c>
    </row>
    <row r="108" ht="23.850000000000001">
      <c r="B108" s="8" t="s">
        <v>218</v>
      </c>
      <c r="C108" s="9" t="s">
        <v>219</v>
      </c>
      <c r="D108" s="9" t="s">
        <v>220</v>
      </c>
      <c r="E108" s="9" t="s">
        <v>221</v>
      </c>
      <c r="F108" s="8" t="s">
        <v>180</v>
      </c>
    </row>
    <row r="109" ht="15">
      <c r="B109" s="8" t="s">
        <v>222</v>
      </c>
      <c r="C109" s="9" t="s">
        <v>219</v>
      </c>
      <c r="D109" s="9" t="s">
        <v>220</v>
      </c>
      <c r="E109" s="9" t="s">
        <v>223</v>
      </c>
      <c r="F109" s="8" t="s">
        <v>27</v>
      </c>
    </row>
    <row r="110" ht="15">
      <c r="B110" s="8" t="s">
        <v>224</v>
      </c>
      <c r="C110" s="9" t="s">
        <v>219</v>
      </c>
      <c r="D110" s="9" t="s">
        <v>220</v>
      </c>
      <c r="E110" s="9" t="s">
        <v>225</v>
      </c>
      <c r="F110" s="8" t="s">
        <v>27</v>
      </c>
    </row>
    <row r="111" ht="15">
      <c r="B111" s="8" t="s">
        <v>226</v>
      </c>
      <c r="C111" s="9" t="s">
        <v>219</v>
      </c>
      <c r="D111" s="9" t="s">
        <v>220</v>
      </c>
      <c r="E111" s="9" t="s">
        <v>227</v>
      </c>
      <c r="F111" s="8" t="s">
        <v>27</v>
      </c>
    </row>
    <row r="112" ht="23.850000000000001">
      <c r="B112" s="8" t="s">
        <v>228</v>
      </c>
      <c r="C112" s="9" t="s">
        <v>219</v>
      </c>
      <c r="D112" s="9" t="s">
        <v>220</v>
      </c>
      <c r="E112" s="9" t="s">
        <v>229</v>
      </c>
      <c r="F112" s="8" t="s">
        <v>27</v>
      </c>
    </row>
    <row r="113" ht="23.850000000000001">
      <c r="B113" s="8" t="s">
        <v>230</v>
      </c>
      <c r="C113" s="9" t="s">
        <v>219</v>
      </c>
      <c r="D113" s="9" t="s">
        <v>220</v>
      </c>
      <c r="E113" s="9" t="s">
        <v>231</v>
      </c>
      <c r="F113" s="8" t="s">
        <v>27</v>
      </c>
    </row>
    <row r="114" ht="23.850000000000001">
      <c r="B114" s="8" t="s">
        <v>232</v>
      </c>
      <c r="C114" s="9" t="s">
        <v>219</v>
      </c>
      <c r="D114" s="9" t="s">
        <v>220</v>
      </c>
      <c r="E114" s="9" t="s">
        <v>233</v>
      </c>
      <c r="F114" s="8" t="s">
        <v>180</v>
      </c>
    </row>
    <row r="115" ht="23.850000000000001">
      <c r="B115" s="8" t="s">
        <v>234</v>
      </c>
      <c r="C115" s="9" t="s">
        <v>219</v>
      </c>
      <c r="D115" s="9" t="s">
        <v>220</v>
      </c>
      <c r="E115" s="9" t="s">
        <v>235</v>
      </c>
      <c r="F115" s="8" t="s">
        <v>180</v>
      </c>
    </row>
    <row r="116" ht="23.850000000000001">
      <c r="B116" s="8" t="s">
        <v>236</v>
      </c>
      <c r="C116" s="9" t="s">
        <v>219</v>
      </c>
      <c r="D116" s="9" t="s">
        <v>220</v>
      </c>
      <c r="E116" s="9" t="s">
        <v>237</v>
      </c>
      <c r="F116" s="8" t="s">
        <v>180</v>
      </c>
    </row>
    <row r="117" ht="15">
      <c r="B117" s="8" t="s">
        <v>238</v>
      </c>
      <c r="C117" s="9" t="s">
        <v>219</v>
      </c>
      <c r="D117" s="9" t="s">
        <v>220</v>
      </c>
      <c r="E117" s="9" t="s">
        <v>239</v>
      </c>
      <c r="F117" s="8" t="s">
        <v>27</v>
      </c>
    </row>
    <row r="118" ht="23.850000000000001">
      <c r="B118" s="8" t="s">
        <v>240</v>
      </c>
      <c r="C118" s="9" t="s">
        <v>219</v>
      </c>
      <c r="D118" s="9" t="s">
        <v>220</v>
      </c>
      <c r="E118" s="9" t="s">
        <v>241</v>
      </c>
      <c r="F118" s="8" t="s">
        <v>27</v>
      </c>
    </row>
    <row r="119" ht="23.850000000000001">
      <c r="B119" s="8" t="s">
        <v>242</v>
      </c>
      <c r="C119" s="9" t="s">
        <v>219</v>
      </c>
      <c r="D119" s="9" t="s">
        <v>220</v>
      </c>
      <c r="E119" s="9" t="s">
        <v>243</v>
      </c>
      <c r="F119" s="8" t="s">
        <v>27</v>
      </c>
    </row>
    <row r="120" ht="15">
      <c r="B120" s="8" t="s">
        <v>244</v>
      </c>
      <c r="C120" s="9" t="s">
        <v>219</v>
      </c>
      <c r="D120" s="9" t="s">
        <v>220</v>
      </c>
      <c r="E120" s="9" t="s">
        <v>245</v>
      </c>
      <c r="F120" s="8" t="s">
        <v>180</v>
      </c>
    </row>
    <row r="121" ht="23.850000000000001">
      <c r="B121" s="8" t="s">
        <v>246</v>
      </c>
      <c r="C121" s="9" t="s">
        <v>219</v>
      </c>
      <c r="D121" s="9" t="s">
        <v>220</v>
      </c>
      <c r="E121" s="9" t="s">
        <v>247</v>
      </c>
      <c r="F121" s="8" t="s">
        <v>248</v>
      </c>
    </row>
    <row r="122" ht="23.850000000000001">
      <c r="B122" s="8" t="s">
        <v>249</v>
      </c>
      <c r="C122" s="9" t="s">
        <v>219</v>
      </c>
      <c r="D122" s="9" t="s">
        <v>250</v>
      </c>
      <c r="E122" s="9" t="s">
        <v>251</v>
      </c>
      <c r="F122" s="8" t="s">
        <v>27</v>
      </c>
    </row>
    <row r="123" ht="15">
      <c r="B123" s="8" t="s">
        <v>252</v>
      </c>
      <c r="C123" s="9" t="s">
        <v>219</v>
      </c>
      <c r="D123" s="9" t="s">
        <v>250</v>
      </c>
      <c r="E123" s="9" t="s">
        <v>253</v>
      </c>
      <c r="F123" s="8" t="s">
        <v>180</v>
      </c>
    </row>
    <row r="124" ht="23.850000000000001">
      <c r="B124" s="8" t="s">
        <v>254</v>
      </c>
      <c r="C124" s="9" t="s">
        <v>219</v>
      </c>
      <c r="D124" s="9" t="s">
        <v>250</v>
      </c>
      <c r="E124" s="9" t="s">
        <v>255</v>
      </c>
      <c r="F124" s="8" t="s">
        <v>27</v>
      </c>
    </row>
    <row r="125" ht="23.850000000000001">
      <c r="B125" s="8" t="s">
        <v>256</v>
      </c>
      <c r="C125" s="9" t="s">
        <v>219</v>
      </c>
      <c r="D125" s="9" t="s">
        <v>250</v>
      </c>
      <c r="E125" s="9" t="s">
        <v>257</v>
      </c>
      <c r="F125" s="8" t="s">
        <v>27</v>
      </c>
    </row>
    <row r="126" ht="23.850000000000001">
      <c r="B126" s="8" t="s">
        <v>258</v>
      </c>
      <c r="C126" s="9" t="s">
        <v>219</v>
      </c>
      <c r="D126" s="9" t="s">
        <v>250</v>
      </c>
      <c r="E126" s="9" t="s">
        <v>259</v>
      </c>
      <c r="F126" s="8" t="s">
        <v>180</v>
      </c>
    </row>
    <row r="127" ht="23.850000000000001">
      <c r="B127" s="8" t="s">
        <v>260</v>
      </c>
      <c r="C127" s="9" t="s">
        <v>219</v>
      </c>
      <c r="D127" s="9" t="s">
        <v>261</v>
      </c>
      <c r="E127" s="9" t="s">
        <v>262</v>
      </c>
      <c r="F127" s="8" t="s">
        <v>180</v>
      </c>
    </row>
    <row r="128" ht="23.850000000000001">
      <c r="B128" s="8" t="s">
        <v>263</v>
      </c>
      <c r="C128" s="9" t="s">
        <v>219</v>
      </c>
      <c r="D128" s="9" t="s">
        <v>261</v>
      </c>
      <c r="E128" s="9" t="s">
        <v>264</v>
      </c>
      <c r="F128" s="8" t="s">
        <v>27</v>
      </c>
    </row>
    <row r="129" ht="23.850000000000001">
      <c r="B129" s="8" t="s">
        <v>265</v>
      </c>
      <c r="C129" s="9" t="s">
        <v>219</v>
      </c>
      <c r="D129" s="9" t="s">
        <v>261</v>
      </c>
      <c r="E129" s="9" t="s">
        <v>266</v>
      </c>
      <c r="F129" s="8" t="s">
        <v>180</v>
      </c>
    </row>
    <row r="130" ht="23.850000000000001">
      <c r="B130" s="8" t="s">
        <v>267</v>
      </c>
      <c r="C130" s="9" t="s">
        <v>219</v>
      </c>
      <c r="D130" s="9" t="s">
        <v>261</v>
      </c>
      <c r="E130" s="9" t="s">
        <v>268</v>
      </c>
      <c r="F130" s="8" t="s">
        <v>180</v>
      </c>
    </row>
    <row r="131" ht="23.850000000000001">
      <c r="B131" s="8" t="s">
        <v>269</v>
      </c>
      <c r="C131" s="9" t="s">
        <v>219</v>
      </c>
      <c r="D131" s="9" t="s">
        <v>261</v>
      </c>
      <c r="E131" s="9" t="s">
        <v>270</v>
      </c>
      <c r="F131" s="8" t="s">
        <v>180</v>
      </c>
    </row>
    <row r="132" ht="23.850000000000001">
      <c r="B132" s="8" t="s">
        <v>271</v>
      </c>
      <c r="C132" s="9" t="s">
        <v>219</v>
      </c>
      <c r="D132" s="9" t="s">
        <v>261</v>
      </c>
      <c r="E132" s="9" t="s">
        <v>272</v>
      </c>
      <c r="F132" s="8" t="s">
        <v>180</v>
      </c>
    </row>
    <row r="133" ht="23.850000000000001">
      <c r="B133" s="8" t="s">
        <v>273</v>
      </c>
      <c r="C133" s="9" t="s">
        <v>219</v>
      </c>
      <c r="D133" s="9" t="s">
        <v>261</v>
      </c>
      <c r="E133" s="9" t="s">
        <v>274</v>
      </c>
      <c r="F133" s="8" t="s">
        <v>180</v>
      </c>
    </row>
    <row r="134" ht="23.850000000000001">
      <c r="B134" s="8" t="s">
        <v>275</v>
      </c>
      <c r="C134" s="9" t="s">
        <v>219</v>
      </c>
      <c r="D134" s="9" t="s">
        <v>261</v>
      </c>
      <c r="E134" s="9" t="s">
        <v>276</v>
      </c>
      <c r="F134" s="8" t="s">
        <v>27</v>
      </c>
    </row>
    <row r="135" ht="15">
      <c r="B135" s="8" t="s">
        <v>277</v>
      </c>
      <c r="C135" s="9" t="s">
        <v>219</v>
      </c>
      <c r="D135" s="9" t="s">
        <v>278</v>
      </c>
      <c r="E135" s="9" t="s">
        <v>279</v>
      </c>
      <c r="F135" s="8" t="s">
        <v>180</v>
      </c>
    </row>
    <row r="136" ht="23.850000000000001">
      <c r="B136" s="8" t="s">
        <v>280</v>
      </c>
      <c r="C136" s="9" t="s">
        <v>219</v>
      </c>
      <c r="D136" s="9" t="s">
        <v>278</v>
      </c>
      <c r="E136" s="9" t="s">
        <v>281</v>
      </c>
      <c r="F136" s="8" t="s">
        <v>180</v>
      </c>
    </row>
    <row r="137" ht="23.850000000000001">
      <c r="B137" s="8" t="s">
        <v>282</v>
      </c>
      <c r="C137" s="9" t="s">
        <v>219</v>
      </c>
      <c r="D137" s="9" t="s">
        <v>278</v>
      </c>
      <c r="E137" s="9" t="s">
        <v>283</v>
      </c>
      <c r="F137" s="8" t="s">
        <v>180</v>
      </c>
    </row>
    <row r="138" ht="23.850000000000001">
      <c r="B138" s="8" t="s">
        <v>284</v>
      </c>
      <c r="C138" s="9" t="s">
        <v>219</v>
      </c>
      <c r="D138" s="9" t="s">
        <v>278</v>
      </c>
      <c r="E138" s="9" t="s">
        <v>285</v>
      </c>
      <c r="F138" s="8" t="s">
        <v>180</v>
      </c>
    </row>
    <row r="139" ht="23.850000000000001">
      <c r="B139" s="8" t="s">
        <v>286</v>
      </c>
      <c r="C139" s="9" t="s">
        <v>219</v>
      </c>
      <c r="D139" s="9" t="s">
        <v>278</v>
      </c>
      <c r="E139" s="9" t="s">
        <v>287</v>
      </c>
      <c r="F139" s="8" t="s">
        <v>180</v>
      </c>
    </row>
    <row r="140" ht="15">
      <c r="B140" s="8" t="s">
        <v>288</v>
      </c>
      <c r="C140" s="9" t="s">
        <v>219</v>
      </c>
      <c r="D140" s="9" t="s">
        <v>278</v>
      </c>
      <c r="E140" s="9" t="s">
        <v>289</v>
      </c>
      <c r="F140" s="8" t="s">
        <v>180</v>
      </c>
    </row>
    <row r="141" ht="23.850000000000001">
      <c r="B141" s="8" t="s">
        <v>290</v>
      </c>
      <c r="C141" s="9" t="s">
        <v>219</v>
      </c>
      <c r="D141" s="9" t="s">
        <v>278</v>
      </c>
      <c r="E141" s="9" t="s">
        <v>291</v>
      </c>
      <c r="F141" s="8" t="s">
        <v>162</v>
      </c>
    </row>
    <row r="142" ht="23.850000000000001">
      <c r="B142" s="8" t="s">
        <v>292</v>
      </c>
      <c r="C142" s="9" t="s">
        <v>219</v>
      </c>
      <c r="D142" s="9" t="s">
        <v>278</v>
      </c>
      <c r="E142" s="9" t="s">
        <v>293</v>
      </c>
      <c r="F142" s="8" t="s">
        <v>180</v>
      </c>
    </row>
    <row r="143" ht="15">
      <c r="B143" s="8" t="s">
        <v>294</v>
      </c>
      <c r="C143" s="9" t="s">
        <v>219</v>
      </c>
      <c r="D143" s="9" t="s">
        <v>278</v>
      </c>
      <c r="E143" s="9" t="s">
        <v>295</v>
      </c>
      <c r="F143" s="8" t="s">
        <v>180</v>
      </c>
    </row>
    <row r="144" ht="23.850000000000001">
      <c r="B144" s="8" t="s">
        <v>296</v>
      </c>
      <c r="C144" s="9" t="s">
        <v>297</v>
      </c>
      <c r="D144" s="9" t="s">
        <v>15</v>
      </c>
      <c r="E144" s="9" t="s">
        <v>298</v>
      </c>
      <c r="F144" s="8" t="s">
        <v>162</v>
      </c>
    </row>
    <row r="145" ht="35.049999999999997">
      <c r="B145" s="8" t="s">
        <v>299</v>
      </c>
      <c r="C145" s="9" t="s">
        <v>297</v>
      </c>
      <c r="D145" s="9" t="s">
        <v>15</v>
      </c>
      <c r="E145" s="9" t="s">
        <v>300</v>
      </c>
      <c r="F145" s="8" t="s">
        <v>162</v>
      </c>
    </row>
    <row r="146" ht="23.850000000000001">
      <c r="B146" s="8" t="s">
        <v>301</v>
      </c>
      <c r="C146" s="9" t="s">
        <v>297</v>
      </c>
      <c r="D146" s="9" t="s">
        <v>15</v>
      </c>
      <c r="E146" s="9" t="s">
        <v>302</v>
      </c>
      <c r="F146" s="8" t="s">
        <v>162</v>
      </c>
    </row>
    <row r="147" ht="15">
      <c r="B147" s="8" t="s">
        <v>303</v>
      </c>
      <c r="C147" s="9" t="s">
        <v>297</v>
      </c>
      <c r="D147" s="9" t="s">
        <v>15</v>
      </c>
      <c r="E147" s="9" t="s">
        <v>304</v>
      </c>
      <c r="F147" s="8" t="s">
        <v>27</v>
      </c>
    </row>
    <row r="148" ht="15">
      <c r="B148" s="8" t="s">
        <v>305</v>
      </c>
      <c r="C148" s="9" t="s">
        <v>297</v>
      </c>
      <c r="D148" s="9" t="s">
        <v>15</v>
      </c>
      <c r="E148" s="9" t="s">
        <v>306</v>
      </c>
      <c r="F148" s="8" t="s">
        <v>27</v>
      </c>
    </row>
    <row r="149" ht="15">
      <c r="B149" s="8" t="s">
        <v>307</v>
      </c>
      <c r="C149" s="9" t="s">
        <v>297</v>
      </c>
      <c r="D149" s="9" t="s">
        <v>15</v>
      </c>
      <c r="E149" s="9" t="s">
        <v>308</v>
      </c>
      <c r="F149" s="8" t="s">
        <v>162</v>
      </c>
    </row>
    <row r="150" ht="15">
      <c r="B150" s="8" t="s">
        <v>309</v>
      </c>
      <c r="C150" s="9" t="s">
        <v>297</v>
      </c>
      <c r="D150" s="9" t="s">
        <v>15</v>
      </c>
      <c r="E150" s="9" t="s">
        <v>310</v>
      </c>
      <c r="F150" s="8" t="s">
        <v>162</v>
      </c>
    </row>
    <row r="151" ht="15">
      <c r="B151" s="8" t="s">
        <v>311</v>
      </c>
      <c r="C151" s="9" t="s">
        <v>297</v>
      </c>
      <c r="D151" s="9" t="s">
        <v>15</v>
      </c>
      <c r="E151" s="9" t="s">
        <v>312</v>
      </c>
      <c r="F151" s="8" t="s">
        <v>162</v>
      </c>
    </row>
    <row r="152" ht="23.850000000000001">
      <c r="B152" s="8" t="s">
        <v>313</v>
      </c>
      <c r="C152" s="9" t="s">
        <v>297</v>
      </c>
      <c r="D152" s="9" t="s">
        <v>15</v>
      </c>
      <c r="E152" s="9" t="s">
        <v>314</v>
      </c>
      <c r="F152" s="8" t="s">
        <v>162</v>
      </c>
    </row>
    <row r="153" ht="23.850000000000001">
      <c r="B153" s="8" t="s">
        <v>315</v>
      </c>
      <c r="C153" s="9" t="s">
        <v>297</v>
      </c>
      <c r="D153" s="9" t="s">
        <v>15</v>
      </c>
      <c r="E153" s="9" t="s">
        <v>316</v>
      </c>
      <c r="F153" s="8" t="s">
        <v>162</v>
      </c>
    </row>
    <row r="154" ht="15">
      <c r="B154" s="8" t="s">
        <v>317</v>
      </c>
      <c r="C154" s="9" t="s">
        <v>297</v>
      </c>
      <c r="D154" s="9" t="s">
        <v>15</v>
      </c>
      <c r="E154" s="9" t="s">
        <v>318</v>
      </c>
      <c r="F154" s="8" t="s">
        <v>162</v>
      </c>
    </row>
    <row r="155" ht="15">
      <c r="B155" s="8" t="s">
        <v>319</v>
      </c>
      <c r="C155" s="9" t="s">
        <v>297</v>
      </c>
      <c r="D155" s="9" t="s">
        <v>15</v>
      </c>
      <c r="E155" s="9" t="s">
        <v>320</v>
      </c>
      <c r="F155" s="8" t="s">
        <v>162</v>
      </c>
    </row>
    <row r="156" ht="23.850000000000001">
      <c r="B156" s="8" t="s">
        <v>321</v>
      </c>
      <c r="C156" s="9" t="s">
        <v>297</v>
      </c>
      <c r="D156" s="9" t="s">
        <v>15</v>
      </c>
      <c r="E156" s="9" t="s">
        <v>322</v>
      </c>
      <c r="F156" s="8" t="s">
        <v>162</v>
      </c>
    </row>
    <row r="157" ht="23.850000000000001">
      <c r="B157" s="8" t="s">
        <v>323</v>
      </c>
      <c r="C157" s="9" t="s">
        <v>297</v>
      </c>
      <c r="D157" s="9" t="s">
        <v>15</v>
      </c>
      <c r="E157" s="9" t="s">
        <v>324</v>
      </c>
      <c r="F157" s="8" t="s">
        <v>162</v>
      </c>
    </row>
    <row r="158" ht="15">
      <c r="B158" s="8" t="s">
        <v>325</v>
      </c>
      <c r="C158" s="9" t="s">
        <v>297</v>
      </c>
      <c r="D158" s="9" t="s">
        <v>15</v>
      </c>
      <c r="E158" s="9" t="s">
        <v>326</v>
      </c>
      <c r="F158" s="8" t="s">
        <v>27</v>
      </c>
    </row>
    <row r="159" ht="23.850000000000001">
      <c r="B159" s="8" t="s">
        <v>327</v>
      </c>
      <c r="C159" s="9" t="s">
        <v>328</v>
      </c>
      <c r="D159" s="9" t="s">
        <v>15</v>
      </c>
      <c r="E159" s="9" t="s">
        <v>329</v>
      </c>
      <c r="F159" s="8" t="s">
        <v>180</v>
      </c>
    </row>
    <row r="160" ht="23.850000000000001">
      <c r="B160" s="8" t="s">
        <v>330</v>
      </c>
      <c r="C160" s="9" t="s">
        <v>328</v>
      </c>
      <c r="D160" s="9" t="s">
        <v>15</v>
      </c>
      <c r="E160" s="9" t="s">
        <v>331</v>
      </c>
      <c r="F160" s="8" t="s">
        <v>27</v>
      </c>
    </row>
    <row r="161" ht="23.850000000000001">
      <c r="B161" s="8" t="s">
        <v>332</v>
      </c>
      <c r="C161" s="9" t="s">
        <v>328</v>
      </c>
      <c r="D161" s="9" t="s">
        <v>15</v>
      </c>
      <c r="E161" s="9" t="s">
        <v>333</v>
      </c>
      <c r="F161" s="8" t="s">
        <v>27</v>
      </c>
    </row>
    <row r="162" ht="15">
      <c r="B162" s="8" t="s">
        <v>334</v>
      </c>
      <c r="C162" s="9" t="s">
        <v>328</v>
      </c>
      <c r="D162" s="9" t="s">
        <v>15</v>
      </c>
      <c r="E162" s="9" t="s">
        <v>335</v>
      </c>
      <c r="F162" s="8" t="s">
        <v>27</v>
      </c>
    </row>
    <row r="163" ht="15">
      <c r="B163" s="8" t="s">
        <v>336</v>
      </c>
      <c r="C163" s="9" t="s">
        <v>328</v>
      </c>
      <c r="D163" s="9" t="s">
        <v>15</v>
      </c>
      <c r="E163" s="9" t="s">
        <v>337</v>
      </c>
      <c r="F163" s="8" t="s">
        <v>162</v>
      </c>
    </row>
    <row r="164" ht="15">
      <c r="B164" s="8" t="s">
        <v>338</v>
      </c>
      <c r="C164" s="9" t="s">
        <v>328</v>
      </c>
      <c r="D164" s="9" t="s">
        <v>15</v>
      </c>
      <c r="E164" s="9" t="s">
        <v>339</v>
      </c>
      <c r="F164" s="8" t="s">
        <v>27</v>
      </c>
    </row>
    <row r="165" ht="15">
      <c r="B165" s="8" t="s">
        <v>340</v>
      </c>
      <c r="C165" s="9" t="s">
        <v>328</v>
      </c>
      <c r="D165" s="9" t="s">
        <v>15</v>
      </c>
      <c r="E165" s="9" t="s">
        <v>341</v>
      </c>
      <c r="F165" s="8" t="s">
        <v>162</v>
      </c>
    </row>
    <row r="166" ht="23.850000000000001">
      <c r="B166" s="8" t="s">
        <v>342</v>
      </c>
      <c r="C166" s="9" t="s">
        <v>328</v>
      </c>
      <c r="D166" s="9" t="s">
        <v>15</v>
      </c>
      <c r="E166" s="9" t="s">
        <v>343</v>
      </c>
      <c r="F166" s="8" t="s">
        <v>162</v>
      </c>
    </row>
    <row r="167" ht="23.850000000000001">
      <c r="B167" s="8" t="s">
        <v>344</v>
      </c>
      <c r="C167" s="9" t="s">
        <v>328</v>
      </c>
      <c r="D167" s="9" t="s">
        <v>15</v>
      </c>
      <c r="E167" s="9" t="s">
        <v>345</v>
      </c>
      <c r="F167" s="8" t="s">
        <v>162</v>
      </c>
    </row>
    <row r="168" ht="23.850000000000001">
      <c r="B168" s="8" t="s">
        <v>346</v>
      </c>
      <c r="C168" s="9" t="s">
        <v>328</v>
      </c>
      <c r="D168" s="9" t="s">
        <v>15</v>
      </c>
      <c r="E168" s="9" t="s">
        <v>347</v>
      </c>
      <c r="F168" s="8" t="s">
        <v>27</v>
      </c>
    </row>
    <row r="169" ht="15">
      <c r="B169" s="8" t="s">
        <v>348</v>
      </c>
      <c r="C169" s="9" t="s">
        <v>328</v>
      </c>
      <c r="D169" s="9" t="s">
        <v>15</v>
      </c>
      <c r="E169" s="9" t="s">
        <v>349</v>
      </c>
      <c r="F169" s="8" t="s">
        <v>350</v>
      </c>
    </row>
    <row r="170" ht="23.850000000000001">
      <c r="B170" s="8" t="s">
        <v>351</v>
      </c>
      <c r="C170" s="9" t="s">
        <v>328</v>
      </c>
      <c r="D170" s="9" t="s">
        <v>15</v>
      </c>
      <c r="E170" s="9" t="s">
        <v>352</v>
      </c>
      <c r="F170" s="8" t="s">
        <v>180</v>
      </c>
    </row>
    <row r="171" ht="15">
      <c r="B171" s="8" t="s">
        <v>353</v>
      </c>
      <c r="C171" s="9" t="s">
        <v>328</v>
      </c>
      <c r="D171" s="9" t="s">
        <v>15</v>
      </c>
      <c r="E171" s="9" t="s">
        <v>354</v>
      </c>
      <c r="F171" s="8" t="s">
        <v>27</v>
      </c>
    </row>
    <row r="172" ht="23.850000000000001">
      <c r="B172" s="8" t="s">
        <v>355</v>
      </c>
      <c r="C172" s="9" t="s">
        <v>356</v>
      </c>
      <c r="D172" s="9" t="s">
        <v>357</v>
      </c>
      <c r="E172" s="9" t="s">
        <v>358</v>
      </c>
      <c r="F172" s="8" t="s">
        <v>180</v>
      </c>
    </row>
    <row r="173" ht="15">
      <c r="B173" s="8" t="s">
        <v>359</v>
      </c>
      <c r="C173" s="9" t="s">
        <v>356</v>
      </c>
      <c r="D173" s="9" t="s">
        <v>357</v>
      </c>
      <c r="E173" s="9" t="s">
        <v>360</v>
      </c>
      <c r="F173" s="8" t="s">
        <v>27</v>
      </c>
    </row>
    <row r="174" ht="15">
      <c r="B174" s="8" t="s">
        <v>361</v>
      </c>
      <c r="C174" s="9" t="s">
        <v>356</v>
      </c>
      <c r="D174" s="9" t="s">
        <v>357</v>
      </c>
      <c r="E174" s="9" t="s">
        <v>362</v>
      </c>
      <c r="F174" s="8" t="s">
        <v>27</v>
      </c>
    </row>
    <row r="175" ht="23.850000000000001">
      <c r="B175" s="8" t="s">
        <v>363</v>
      </c>
      <c r="C175" s="9" t="s">
        <v>356</v>
      </c>
      <c r="D175" s="9" t="s">
        <v>357</v>
      </c>
      <c r="E175" s="9" t="s">
        <v>364</v>
      </c>
      <c r="F175" s="8" t="s">
        <v>27</v>
      </c>
    </row>
    <row r="176" ht="23.850000000000001">
      <c r="B176" s="8" t="s">
        <v>365</v>
      </c>
      <c r="C176" s="9" t="s">
        <v>356</v>
      </c>
      <c r="D176" s="9" t="s">
        <v>357</v>
      </c>
      <c r="E176" s="9" t="s">
        <v>366</v>
      </c>
      <c r="F176" s="8" t="s">
        <v>180</v>
      </c>
    </row>
    <row r="177" ht="23.850000000000001">
      <c r="B177" s="8" t="s">
        <v>367</v>
      </c>
      <c r="C177" s="9" t="s">
        <v>356</v>
      </c>
      <c r="D177" s="9" t="s">
        <v>357</v>
      </c>
      <c r="E177" s="9" t="s">
        <v>368</v>
      </c>
      <c r="F177" s="8" t="s">
        <v>27</v>
      </c>
    </row>
    <row r="178" ht="15">
      <c r="B178" s="8" t="s">
        <v>369</v>
      </c>
      <c r="C178" s="9" t="s">
        <v>356</v>
      </c>
      <c r="D178" s="9" t="s">
        <v>357</v>
      </c>
      <c r="E178" s="9" t="s">
        <v>370</v>
      </c>
      <c r="F178" s="8" t="s">
        <v>180</v>
      </c>
    </row>
    <row r="179" ht="15">
      <c r="B179" s="8" t="s">
        <v>371</v>
      </c>
      <c r="C179" s="9" t="s">
        <v>356</v>
      </c>
      <c r="D179" s="9" t="s">
        <v>357</v>
      </c>
      <c r="E179" s="9" t="s">
        <v>372</v>
      </c>
      <c r="F179" s="8" t="s">
        <v>27</v>
      </c>
    </row>
    <row r="180" ht="23.850000000000001">
      <c r="B180" s="8" t="s">
        <v>373</v>
      </c>
      <c r="C180" s="9" t="s">
        <v>356</v>
      </c>
      <c r="D180" s="9" t="s">
        <v>374</v>
      </c>
      <c r="E180" s="9" t="s">
        <v>375</v>
      </c>
      <c r="F180" s="8" t="s">
        <v>180</v>
      </c>
    </row>
    <row r="181" ht="23.850000000000001">
      <c r="B181" s="8" t="s">
        <v>376</v>
      </c>
      <c r="C181" s="9" t="s">
        <v>356</v>
      </c>
      <c r="D181" s="9" t="s">
        <v>374</v>
      </c>
      <c r="E181" s="9" t="s">
        <v>377</v>
      </c>
      <c r="F181" s="8" t="s">
        <v>27</v>
      </c>
    </row>
    <row r="182" ht="15">
      <c r="B182" s="8" t="s">
        <v>378</v>
      </c>
      <c r="C182" s="9" t="s">
        <v>356</v>
      </c>
      <c r="D182" s="9" t="s">
        <v>374</v>
      </c>
      <c r="E182" s="9" t="s">
        <v>379</v>
      </c>
      <c r="F182" s="8" t="s">
        <v>27</v>
      </c>
    </row>
    <row r="183" ht="23.850000000000001">
      <c r="B183" s="8" t="s">
        <v>380</v>
      </c>
      <c r="C183" s="9" t="s">
        <v>356</v>
      </c>
      <c r="D183" s="9" t="s">
        <v>374</v>
      </c>
      <c r="E183" s="9" t="s">
        <v>381</v>
      </c>
      <c r="F183" s="8" t="s">
        <v>27</v>
      </c>
    </row>
    <row r="184" ht="15">
      <c r="B184" s="8" t="s">
        <v>382</v>
      </c>
      <c r="C184" s="9" t="s">
        <v>356</v>
      </c>
      <c r="D184" s="9" t="s">
        <v>374</v>
      </c>
      <c r="E184" s="9" t="s">
        <v>383</v>
      </c>
      <c r="F184" s="8" t="s">
        <v>162</v>
      </c>
    </row>
    <row r="185" ht="23.850000000000001">
      <c r="B185" s="8" t="s">
        <v>384</v>
      </c>
      <c r="C185" s="9" t="s">
        <v>356</v>
      </c>
      <c r="D185" s="9" t="s">
        <v>374</v>
      </c>
      <c r="E185" s="9" t="s">
        <v>385</v>
      </c>
      <c r="F185" s="8" t="s">
        <v>162</v>
      </c>
    </row>
    <row r="186" ht="15">
      <c r="B186" s="8" t="s">
        <v>386</v>
      </c>
      <c r="C186" s="9" t="s">
        <v>356</v>
      </c>
      <c r="D186" s="9" t="s">
        <v>374</v>
      </c>
      <c r="E186" s="9" t="s">
        <v>387</v>
      </c>
      <c r="F186" s="8" t="s">
        <v>27</v>
      </c>
    </row>
    <row r="187" ht="23.850000000000001">
      <c r="B187" s="8" t="s">
        <v>388</v>
      </c>
      <c r="C187" s="9" t="s">
        <v>356</v>
      </c>
      <c r="D187" s="9" t="s">
        <v>389</v>
      </c>
      <c r="E187" s="9" t="s">
        <v>390</v>
      </c>
      <c r="F187" s="8" t="s">
        <v>180</v>
      </c>
    </row>
    <row r="188" ht="15">
      <c r="B188" s="8" t="s">
        <v>391</v>
      </c>
      <c r="C188" s="9" t="s">
        <v>356</v>
      </c>
      <c r="D188" s="9" t="s">
        <v>389</v>
      </c>
      <c r="E188" s="9" t="s">
        <v>392</v>
      </c>
      <c r="F188" s="8" t="s">
        <v>125</v>
      </c>
    </row>
    <row r="189" ht="23.850000000000001">
      <c r="B189" s="8" t="s">
        <v>393</v>
      </c>
      <c r="C189" s="9" t="s">
        <v>356</v>
      </c>
      <c r="D189" s="9" t="s">
        <v>389</v>
      </c>
      <c r="E189" s="9" t="s">
        <v>394</v>
      </c>
      <c r="F189" s="8" t="s">
        <v>180</v>
      </c>
    </row>
    <row r="190" ht="23.850000000000001">
      <c r="B190" s="8" t="s">
        <v>395</v>
      </c>
      <c r="C190" s="9" t="s">
        <v>356</v>
      </c>
      <c r="D190" s="9" t="s">
        <v>389</v>
      </c>
      <c r="E190" s="9" t="s">
        <v>396</v>
      </c>
      <c r="F190" s="8" t="s">
        <v>180</v>
      </c>
    </row>
    <row r="191" ht="15">
      <c r="B191" s="8" t="s">
        <v>397</v>
      </c>
      <c r="C191" s="9" t="s">
        <v>356</v>
      </c>
      <c r="D191" s="9" t="s">
        <v>389</v>
      </c>
      <c r="E191" s="9" t="s">
        <v>398</v>
      </c>
      <c r="F191" s="8" t="s">
        <v>180</v>
      </c>
    </row>
    <row r="192" ht="23.850000000000001">
      <c r="B192" s="8" t="s">
        <v>399</v>
      </c>
      <c r="C192" s="9" t="s">
        <v>356</v>
      </c>
      <c r="D192" s="9" t="s">
        <v>400</v>
      </c>
      <c r="E192" s="9" t="s">
        <v>401</v>
      </c>
      <c r="F192" s="8" t="s">
        <v>27</v>
      </c>
    </row>
    <row r="193" ht="23.850000000000001">
      <c r="B193" s="8" t="s">
        <v>402</v>
      </c>
      <c r="C193" s="9" t="s">
        <v>356</v>
      </c>
      <c r="D193" s="9" t="s">
        <v>400</v>
      </c>
      <c r="E193" s="9" t="s">
        <v>403</v>
      </c>
      <c r="F193" s="8" t="s">
        <v>27</v>
      </c>
    </row>
    <row r="194" ht="23.850000000000001">
      <c r="B194" s="8" t="s">
        <v>404</v>
      </c>
      <c r="C194" s="9" t="s">
        <v>356</v>
      </c>
      <c r="D194" s="9" t="s">
        <v>400</v>
      </c>
      <c r="E194" s="9" t="s">
        <v>405</v>
      </c>
      <c r="F194" s="8" t="s">
        <v>27</v>
      </c>
    </row>
    <row r="195" ht="23.850000000000001">
      <c r="B195" s="8" t="s">
        <v>406</v>
      </c>
      <c r="C195" s="9" t="s">
        <v>356</v>
      </c>
      <c r="D195" s="9" t="s">
        <v>400</v>
      </c>
      <c r="E195" s="9" t="s">
        <v>407</v>
      </c>
      <c r="F195" s="8" t="s">
        <v>180</v>
      </c>
    </row>
    <row r="196" ht="23.850000000000001">
      <c r="B196" s="8" t="s">
        <v>408</v>
      </c>
      <c r="C196" s="9" t="s">
        <v>356</v>
      </c>
      <c r="D196" s="9" t="s">
        <v>400</v>
      </c>
      <c r="E196" s="9" t="s">
        <v>409</v>
      </c>
      <c r="F196" s="8" t="s">
        <v>180</v>
      </c>
    </row>
    <row r="197" ht="23.850000000000001">
      <c r="B197" s="8" t="s">
        <v>410</v>
      </c>
      <c r="C197" s="9" t="s">
        <v>356</v>
      </c>
      <c r="D197" s="9" t="s">
        <v>400</v>
      </c>
      <c r="E197" s="9" t="s">
        <v>411</v>
      </c>
      <c r="F197" s="8" t="s">
        <v>180</v>
      </c>
    </row>
    <row r="198" ht="23.850000000000001">
      <c r="B198" s="8" t="s">
        <v>412</v>
      </c>
      <c r="C198" s="9" t="s">
        <v>356</v>
      </c>
      <c r="D198" s="9" t="s">
        <v>400</v>
      </c>
      <c r="E198" s="9" t="s">
        <v>413</v>
      </c>
      <c r="F198" s="8" t="s">
        <v>27</v>
      </c>
    </row>
    <row r="199" ht="23.850000000000001">
      <c r="B199" s="8" t="s">
        <v>414</v>
      </c>
      <c r="C199" s="9" t="s">
        <v>415</v>
      </c>
      <c r="D199" s="9" t="s">
        <v>15</v>
      </c>
      <c r="E199" s="9" t="s">
        <v>416</v>
      </c>
      <c r="F199" s="8" t="s">
        <v>180</v>
      </c>
    </row>
    <row r="200" ht="23.850000000000001">
      <c r="B200" s="8" t="s">
        <v>417</v>
      </c>
      <c r="C200" s="9" t="s">
        <v>415</v>
      </c>
      <c r="D200" s="9" t="s">
        <v>15</v>
      </c>
      <c r="E200" s="9" t="s">
        <v>418</v>
      </c>
      <c r="F200" s="8" t="s">
        <v>27</v>
      </c>
    </row>
    <row r="201" ht="23.850000000000001">
      <c r="B201" s="8" t="s">
        <v>419</v>
      </c>
      <c r="C201" s="9" t="s">
        <v>415</v>
      </c>
      <c r="D201" s="9" t="s">
        <v>15</v>
      </c>
      <c r="E201" s="9" t="s">
        <v>420</v>
      </c>
      <c r="F201" s="8" t="s">
        <v>180</v>
      </c>
    </row>
    <row r="202" ht="23.850000000000001">
      <c r="B202" s="8" t="s">
        <v>421</v>
      </c>
      <c r="C202" s="9" t="s">
        <v>415</v>
      </c>
      <c r="D202" s="9" t="s">
        <v>15</v>
      </c>
      <c r="E202" s="9" t="s">
        <v>422</v>
      </c>
      <c r="F202" s="8" t="s">
        <v>27</v>
      </c>
    </row>
    <row r="203" ht="23.850000000000001">
      <c r="B203" s="8" t="s">
        <v>423</v>
      </c>
      <c r="C203" s="9" t="s">
        <v>415</v>
      </c>
      <c r="D203" s="9" t="s">
        <v>15</v>
      </c>
      <c r="E203" s="9" t="s">
        <v>424</v>
      </c>
      <c r="F203" s="8" t="s">
        <v>27</v>
      </c>
    </row>
    <row r="204" ht="15">
      <c r="B204" s="8" t="s">
        <v>425</v>
      </c>
      <c r="C204" s="9" t="s">
        <v>415</v>
      </c>
      <c r="D204" s="9" t="s">
        <v>15</v>
      </c>
      <c r="E204" s="9" t="s">
        <v>426</v>
      </c>
      <c r="F204" s="8" t="s">
        <v>180</v>
      </c>
    </row>
    <row r="205" ht="35.049999999999997">
      <c r="B205" s="8" t="s">
        <v>427</v>
      </c>
      <c r="C205" s="9" t="s">
        <v>415</v>
      </c>
      <c r="D205" s="9" t="s">
        <v>15</v>
      </c>
      <c r="E205" s="9" t="s">
        <v>428</v>
      </c>
      <c r="F205" s="8" t="s">
        <v>27</v>
      </c>
    </row>
    <row r="206" ht="23.850000000000001">
      <c r="B206" s="8" t="s">
        <v>429</v>
      </c>
      <c r="C206" s="9" t="s">
        <v>415</v>
      </c>
      <c r="D206" s="9" t="s">
        <v>15</v>
      </c>
      <c r="E206" s="9" t="s">
        <v>430</v>
      </c>
      <c r="F206" s="8" t="s">
        <v>27</v>
      </c>
    </row>
    <row r="207" ht="23.850000000000001">
      <c r="B207" s="8" t="s">
        <v>431</v>
      </c>
      <c r="C207" s="9" t="s">
        <v>415</v>
      </c>
      <c r="D207" s="9" t="s">
        <v>15</v>
      </c>
      <c r="E207" s="9" t="s">
        <v>432</v>
      </c>
      <c r="F207" s="8" t="s">
        <v>433</v>
      </c>
    </row>
    <row r="208" ht="15">
      <c r="B208" s="8" t="s">
        <v>434</v>
      </c>
      <c r="C208" s="9" t="s">
        <v>415</v>
      </c>
      <c r="D208" s="9" t="s">
        <v>15</v>
      </c>
      <c r="E208" s="9" t="s">
        <v>435</v>
      </c>
      <c r="F208" s="8" t="s">
        <v>27</v>
      </c>
    </row>
    <row r="209" ht="15">
      <c r="B209" s="8" t="s">
        <v>436</v>
      </c>
      <c r="C209" s="9" t="s">
        <v>415</v>
      </c>
      <c r="D209" s="9" t="s">
        <v>15</v>
      </c>
      <c r="E209" s="9" t="s">
        <v>437</v>
      </c>
      <c r="F209" s="8" t="s">
        <v>27</v>
      </c>
    </row>
    <row r="210" ht="23.850000000000001">
      <c r="B210" s="8" t="s">
        <v>438</v>
      </c>
      <c r="C210" s="9" t="s">
        <v>415</v>
      </c>
      <c r="D210" s="9" t="s">
        <v>15</v>
      </c>
      <c r="E210" s="9" t="s">
        <v>439</v>
      </c>
      <c r="F210" s="8" t="s">
        <v>180</v>
      </c>
    </row>
    <row r="211" ht="15">
      <c r="B211" s="8" t="s">
        <v>440</v>
      </c>
      <c r="C211" s="9" t="s">
        <v>441</v>
      </c>
      <c r="D211" s="9" t="s">
        <v>15</v>
      </c>
      <c r="E211" s="9" t="s">
        <v>442</v>
      </c>
      <c r="F211" s="8" t="s">
        <v>162</v>
      </c>
    </row>
    <row r="212" ht="23.850000000000001">
      <c r="B212" s="8" t="s">
        <v>443</v>
      </c>
      <c r="C212" s="9" t="s">
        <v>441</v>
      </c>
      <c r="D212" s="9" t="s">
        <v>15</v>
      </c>
      <c r="E212" s="9" t="s">
        <v>444</v>
      </c>
      <c r="F212" s="8" t="s">
        <v>27</v>
      </c>
    </row>
    <row r="213" ht="15">
      <c r="B213" s="8" t="s">
        <v>445</v>
      </c>
      <c r="C213" s="9" t="s">
        <v>441</v>
      </c>
      <c r="D213" s="9" t="s">
        <v>15</v>
      </c>
      <c r="E213" s="9" t="s">
        <v>446</v>
      </c>
      <c r="F213" s="8" t="s">
        <v>27</v>
      </c>
    </row>
    <row r="214" ht="15">
      <c r="B214" s="8" t="s">
        <v>447</v>
      </c>
      <c r="C214" s="9" t="s">
        <v>441</v>
      </c>
      <c r="D214" s="9" t="s">
        <v>15</v>
      </c>
      <c r="E214" s="9" t="s">
        <v>448</v>
      </c>
      <c r="F214" s="8" t="s">
        <v>27</v>
      </c>
    </row>
    <row r="215" ht="15">
      <c r="B215" s="8" t="s">
        <v>449</v>
      </c>
      <c r="C215" s="9" t="s">
        <v>441</v>
      </c>
      <c r="D215" s="9" t="s">
        <v>15</v>
      </c>
      <c r="E215" s="9" t="s">
        <v>450</v>
      </c>
      <c r="F215" s="8" t="s">
        <v>27</v>
      </c>
    </row>
    <row r="216" ht="15">
      <c r="B216" s="8" t="s">
        <v>451</v>
      </c>
      <c r="C216" s="9" t="s">
        <v>441</v>
      </c>
      <c r="D216" s="9" t="s">
        <v>15</v>
      </c>
      <c r="E216" s="9" t="s">
        <v>452</v>
      </c>
      <c r="F216" s="8" t="s">
        <v>27</v>
      </c>
    </row>
    <row r="217" ht="15">
      <c r="B217" s="8" t="s">
        <v>453</v>
      </c>
      <c r="C217" s="9" t="s">
        <v>441</v>
      </c>
      <c r="D217" s="9" t="s">
        <v>15</v>
      </c>
      <c r="E217" s="9" t="s">
        <v>454</v>
      </c>
      <c r="F217" s="8" t="s">
        <v>27</v>
      </c>
    </row>
    <row r="218" ht="23.850000000000001">
      <c r="B218" s="8" t="s">
        <v>455</v>
      </c>
      <c r="C218" s="9" t="s">
        <v>456</v>
      </c>
      <c r="D218" s="9" t="s">
        <v>15</v>
      </c>
      <c r="E218" s="9" t="s">
        <v>457</v>
      </c>
      <c r="F218" s="8" t="s">
        <v>27</v>
      </c>
    </row>
    <row r="219" ht="23.850000000000001">
      <c r="B219" s="8" t="s">
        <v>458</v>
      </c>
      <c r="C219" s="9" t="s">
        <v>456</v>
      </c>
      <c r="D219" s="9" t="s">
        <v>15</v>
      </c>
      <c r="E219" s="9" t="s">
        <v>459</v>
      </c>
      <c r="F219" s="8" t="s">
        <v>27</v>
      </c>
    </row>
    <row r="220" ht="23.850000000000001">
      <c r="B220" s="8" t="s">
        <v>460</v>
      </c>
      <c r="C220" s="9" t="s">
        <v>456</v>
      </c>
      <c r="D220" s="9" t="s">
        <v>15</v>
      </c>
      <c r="E220" s="9" t="s">
        <v>461</v>
      </c>
      <c r="F220" s="8" t="s">
        <v>27</v>
      </c>
    </row>
    <row r="221" ht="15">
      <c r="B221" s="8" t="s">
        <v>462</v>
      </c>
      <c r="C221" s="9" t="s">
        <v>456</v>
      </c>
      <c r="D221" s="9" t="s">
        <v>15</v>
      </c>
      <c r="E221" s="9" t="s">
        <v>463</v>
      </c>
      <c r="F221" s="8" t="s">
        <v>27</v>
      </c>
    </row>
    <row r="222" ht="15">
      <c r="B222" s="8" t="s">
        <v>464</v>
      </c>
      <c r="C222" s="9" t="s">
        <v>456</v>
      </c>
      <c r="D222" s="9" t="s">
        <v>15</v>
      </c>
      <c r="E222" s="9" t="s">
        <v>465</v>
      </c>
      <c r="F222" s="8" t="s">
        <v>180</v>
      </c>
    </row>
    <row r="223" ht="15">
      <c r="B223" s="8" t="s">
        <v>466</v>
      </c>
      <c r="C223" s="9" t="s">
        <v>456</v>
      </c>
      <c r="D223" s="9" t="s">
        <v>15</v>
      </c>
      <c r="E223" s="9" t="s">
        <v>467</v>
      </c>
      <c r="F223" s="8" t="s">
        <v>180</v>
      </c>
    </row>
    <row r="224" ht="15">
      <c r="B224" s="8" t="s">
        <v>468</v>
      </c>
      <c r="C224" s="9" t="s">
        <v>456</v>
      </c>
      <c r="D224" s="9" t="s">
        <v>15</v>
      </c>
      <c r="E224" s="9" t="s">
        <v>469</v>
      </c>
      <c r="F224" s="8" t="s">
        <v>180</v>
      </c>
    </row>
    <row r="225" ht="15">
      <c r="B225" s="8" t="s">
        <v>470</v>
      </c>
      <c r="C225" s="9" t="s">
        <v>456</v>
      </c>
      <c r="D225" s="9" t="s">
        <v>15</v>
      </c>
      <c r="E225" s="9" t="s">
        <v>471</v>
      </c>
      <c r="F225" s="8" t="s">
        <v>180</v>
      </c>
    </row>
    <row r="226" ht="15">
      <c r="B226" s="8" t="s">
        <v>472</v>
      </c>
      <c r="C226" s="9" t="s">
        <v>473</v>
      </c>
      <c r="D226" s="9" t="s">
        <v>15</v>
      </c>
      <c r="E226" s="9" t="s">
        <v>474</v>
      </c>
      <c r="F226" s="8" t="s">
        <v>180</v>
      </c>
    </row>
    <row r="227" ht="15">
      <c r="B227" s="8" t="s">
        <v>475</v>
      </c>
      <c r="C227" s="9" t="s">
        <v>473</v>
      </c>
      <c r="D227" s="9" t="s">
        <v>15</v>
      </c>
      <c r="E227" s="9" t="s">
        <v>476</v>
      </c>
      <c r="F227" s="8" t="s">
        <v>180</v>
      </c>
    </row>
    <row r="228" ht="15">
      <c r="B228" s="8" t="s">
        <v>477</v>
      </c>
      <c r="C228" s="9" t="s">
        <v>473</v>
      </c>
      <c r="D228" s="9" t="s">
        <v>15</v>
      </c>
      <c r="E228" s="9" t="s">
        <v>478</v>
      </c>
      <c r="F228" s="8" t="s">
        <v>180</v>
      </c>
    </row>
    <row r="229" ht="15">
      <c r="B229" s="8" t="s">
        <v>479</v>
      </c>
      <c r="C229" s="9" t="s">
        <v>473</v>
      </c>
      <c r="D229" s="9" t="s">
        <v>15</v>
      </c>
      <c r="E229" s="9" t="s">
        <v>480</v>
      </c>
      <c r="F229" s="8" t="s">
        <v>162</v>
      </c>
    </row>
    <row r="230" ht="15">
      <c r="B230" s="8" t="s">
        <v>481</v>
      </c>
      <c r="C230" s="9" t="s">
        <v>473</v>
      </c>
      <c r="D230" s="9" t="s">
        <v>15</v>
      </c>
      <c r="E230" s="9" t="s">
        <v>482</v>
      </c>
      <c r="F230" s="8" t="s">
        <v>180</v>
      </c>
    </row>
    <row r="231" ht="23.850000000000001">
      <c r="B231" s="8" t="s">
        <v>483</v>
      </c>
      <c r="C231" s="9" t="s">
        <v>473</v>
      </c>
      <c r="D231" s="9" t="s">
        <v>15</v>
      </c>
      <c r="E231" s="9" t="s">
        <v>484</v>
      </c>
      <c r="F231" s="8" t="s">
        <v>180</v>
      </c>
    </row>
    <row r="232" ht="15">
      <c r="B232" s="8" t="s">
        <v>485</v>
      </c>
      <c r="C232" s="9" t="s">
        <v>473</v>
      </c>
      <c r="D232" s="9" t="s">
        <v>15</v>
      </c>
      <c r="E232" s="9" t="s">
        <v>486</v>
      </c>
      <c r="F232" s="8" t="s">
        <v>162</v>
      </c>
    </row>
    <row r="233" ht="15">
      <c r="B233" s="8" t="s">
        <v>487</v>
      </c>
      <c r="C233" s="9" t="s">
        <v>473</v>
      </c>
      <c r="D233" s="9" t="s">
        <v>15</v>
      </c>
      <c r="E233" s="9" t="s">
        <v>488</v>
      </c>
      <c r="F233" s="8" t="s">
        <v>180</v>
      </c>
    </row>
    <row r="234" ht="15">
      <c r="B234" s="8" t="s">
        <v>489</v>
      </c>
      <c r="C234" s="9" t="s">
        <v>473</v>
      </c>
      <c r="D234" s="9" t="s">
        <v>15</v>
      </c>
      <c r="E234" s="9" t="s">
        <v>490</v>
      </c>
      <c r="F234" s="8" t="s">
        <v>180</v>
      </c>
    </row>
    <row r="235" ht="23.850000000000001">
      <c r="B235" s="8" t="s">
        <v>491</v>
      </c>
      <c r="C235" s="9" t="s">
        <v>473</v>
      </c>
      <c r="D235" s="9" t="s">
        <v>15</v>
      </c>
      <c r="E235" s="9" t="s">
        <v>492</v>
      </c>
      <c r="F235" s="8" t="s">
        <v>125</v>
      </c>
    </row>
    <row r="236" ht="23.850000000000001">
      <c r="B236" s="8" t="s">
        <v>493</v>
      </c>
      <c r="C236" s="9" t="s">
        <v>473</v>
      </c>
      <c r="D236" s="9" t="s">
        <v>15</v>
      </c>
      <c r="E236" s="9" t="s">
        <v>494</v>
      </c>
      <c r="F236" s="8" t="s">
        <v>27</v>
      </c>
    </row>
    <row r="237" ht="23.850000000000001">
      <c r="B237" s="8" t="s">
        <v>495</v>
      </c>
      <c r="C237" s="9" t="s">
        <v>473</v>
      </c>
      <c r="D237" s="9" t="s">
        <v>15</v>
      </c>
      <c r="E237" s="9" t="s">
        <v>496</v>
      </c>
      <c r="F237" s="8" t="s">
        <v>350</v>
      </c>
    </row>
    <row r="238" ht="23.850000000000001">
      <c r="B238" s="8" t="s">
        <v>497</v>
      </c>
      <c r="C238" s="9" t="s">
        <v>498</v>
      </c>
      <c r="D238" s="9" t="s">
        <v>15</v>
      </c>
      <c r="E238" s="9" t="s">
        <v>499</v>
      </c>
      <c r="F238" s="8" t="s">
        <v>180</v>
      </c>
    </row>
    <row r="239" ht="23.850000000000001">
      <c r="B239" s="8" t="s">
        <v>500</v>
      </c>
      <c r="C239" s="9" t="s">
        <v>498</v>
      </c>
      <c r="D239" s="9" t="s">
        <v>15</v>
      </c>
      <c r="E239" s="9" t="s">
        <v>501</v>
      </c>
      <c r="F239" s="8" t="s">
        <v>180</v>
      </c>
    </row>
    <row r="240" ht="23.850000000000001">
      <c r="B240" s="8" t="s">
        <v>502</v>
      </c>
      <c r="C240" s="9" t="s">
        <v>498</v>
      </c>
      <c r="D240" s="9" t="s">
        <v>15</v>
      </c>
      <c r="E240" s="9" t="s">
        <v>503</v>
      </c>
      <c r="F240" s="8" t="s">
        <v>180</v>
      </c>
    </row>
    <row r="241" ht="23.850000000000001">
      <c r="B241" s="8" t="s">
        <v>504</v>
      </c>
      <c r="C241" s="9" t="s">
        <v>498</v>
      </c>
      <c r="D241" s="9" t="s">
        <v>15</v>
      </c>
      <c r="E241" s="9" t="s">
        <v>505</v>
      </c>
      <c r="F241" s="8" t="s">
        <v>180</v>
      </c>
    </row>
    <row r="242" ht="15">
      <c r="B242" s="8" t="s">
        <v>506</v>
      </c>
      <c r="C242" s="9" t="s">
        <v>498</v>
      </c>
      <c r="D242" s="9" t="s">
        <v>15</v>
      </c>
      <c r="E242" s="9" t="s">
        <v>507</v>
      </c>
      <c r="F242" s="8" t="s">
        <v>180</v>
      </c>
    </row>
    <row r="243" ht="23.850000000000001">
      <c r="B243" s="8" t="s">
        <v>508</v>
      </c>
      <c r="C243" s="9" t="s">
        <v>498</v>
      </c>
      <c r="D243" s="9" t="s">
        <v>15</v>
      </c>
      <c r="E243" s="9" t="s">
        <v>509</v>
      </c>
      <c r="F243" s="8" t="s">
        <v>180</v>
      </c>
    </row>
    <row r="244" ht="15">
      <c r="B244" s="8" t="s">
        <v>510</v>
      </c>
      <c r="C244" s="9" t="s">
        <v>498</v>
      </c>
      <c r="D244" s="9" t="s">
        <v>15</v>
      </c>
      <c r="E244" s="9" t="s">
        <v>511</v>
      </c>
      <c r="F244" s="8" t="s">
        <v>180</v>
      </c>
    </row>
    <row r="245" ht="15">
      <c r="B245" s="8" t="s">
        <v>512</v>
      </c>
      <c r="C245" s="9" t="s">
        <v>498</v>
      </c>
      <c r="D245" s="9" t="s">
        <v>15</v>
      </c>
      <c r="E245" s="9" t="s">
        <v>513</v>
      </c>
      <c r="F245" s="8" t="s">
        <v>180</v>
      </c>
    </row>
    <row r="246" ht="15">
      <c r="B246" s="8" t="s">
        <v>514</v>
      </c>
      <c r="C246" s="9" t="s">
        <v>498</v>
      </c>
      <c r="D246" s="9" t="s">
        <v>15</v>
      </c>
      <c r="E246" s="9" t="s">
        <v>515</v>
      </c>
      <c r="F246" s="8" t="s">
        <v>180</v>
      </c>
    </row>
    <row r="247" ht="15">
      <c r="B247" s="8" t="s">
        <v>516</v>
      </c>
      <c r="C247" s="9" t="s">
        <v>498</v>
      </c>
      <c r="D247" s="9" t="s">
        <v>15</v>
      </c>
      <c r="E247" s="9" t="s">
        <v>517</v>
      </c>
      <c r="F247" s="8" t="s">
        <v>162</v>
      </c>
    </row>
    <row r="248" ht="23.850000000000001">
      <c r="B248" s="8" t="s">
        <v>518</v>
      </c>
      <c r="C248" s="9" t="s">
        <v>498</v>
      </c>
      <c r="D248" s="9" t="s">
        <v>15</v>
      </c>
      <c r="E248" s="9" t="s">
        <v>519</v>
      </c>
      <c r="F248" s="8" t="s">
        <v>180</v>
      </c>
    </row>
    <row r="249" ht="23.850000000000001">
      <c r="B249" s="8" t="s">
        <v>520</v>
      </c>
      <c r="C249" s="9" t="s">
        <v>498</v>
      </c>
      <c r="D249" s="9" t="s">
        <v>15</v>
      </c>
      <c r="E249" s="9" t="s">
        <v>521</v>
      </c>
      <c r="F249" s="8" t="s">
        <v>180</v>
      </c>
    </row>
    <row r="250" ht="15">
      <c r="B250" s="8" t="s">
        <v>522</v>
      </c>
      <c r="C250" s="9" t="s">
        <v>498</v>
      </c>
      <c r="D250" s="9" t="s">
        <v>15</v>
      </c>
      <c r="E250" s="9" t="s">
        <v>523</v>
      </c>
      <c r="F250" s="8" t="s">
        <v>125</v>
      </c>
    </row>
    <row r="251" ht="35.049999999999997">
      <c r="B251" s="8" t="s">
        <v>524</v>
      </c>
      <c r="C251" s="9" t="s">
        <v>525</v>
      </c>
      <c r="D251" s="9" t="s">
        <v>15</v>
      </c>
      <c r="E251" s="9" t="s">
        <v>526</v>
      </c>
      <c r="F251" s="8" t="s">
        <v>27</v>
      </c>
    </row>
    <row r="252" ht="23.850000000000001">
      <c r="B252" s="8" t="s">
        <v>527</v>
      </c>
      <c r="C252" s="9" t="s">
        <v>525</v>
      </c>
      <c r="D252" s="9" t="s">
        <v>15</v>
      </c>
      <c r="E252" s="9" t="s">
        <v>528</v>
      </c>
      <c r="F252" s="8" t="s">
        <v>27</v>
      </c>
    </row>
    <row r="253" ht="23.850000000000001">
      <c r="B253" s="8" t="s">
        <v>529</v>
      </c>
      <c r="C253" s="9" t="s">
        <v>525</v>
      </c>
      <c r="D253" s="9" t="s">
        <v>15</v>
      </c>
      <c r="E253" s="9" t="s">
        <v>530</v>
      </c>
      <c r="F253" s="8" t="s">
        <v>162</v>
      </c>
    </row>
    <row r="254" ht="15">
      <c r="B254" s="8" t="s">
        <v>531</v>
      </c>
      <c r="C254" s="9" t="s">
        <v>525</v>
      </c>
      <c r="D254" s="9" t="s">
        <v>15</v>
      </c>
      <c r="E254" s="9" t="s">
        <v>532</v>
      </c>
      <c r="F254" s="8" t="s">
        <v>162</v>
      </c>
    </row>
    <row r="255" ht="15">
      <c r="B255" s="8" t="s">
        <v>533</v>
      </c>
      <c r="C255" s="9" t="s">
        <v>525</v>
      </c>
      <c r="D255" s="9" t="s">
        <v>15</v>
      </c>
      <c r="E255" s="9" t="s">
        <v>534</v>
      </c>
      <c r="F255" s="8" t="s">
        <v>162</v>
      </c>
    </row>
    <row r="256" ht="15">
      <c r="B256" s="8" t="s">
        <v>535</v>
      </c>
      <c r="C256" s="9" t="s">
        <v>525</v>
      </c>
      <c r="D256" s="9" t="s">
        <v>15</v>
      </c>
      <c r="E256" s="9" t="s">
        <v>536</v>
      </c>
      <c r="F256" s="8" t="s">
        <v>162</v>
      </c>
    </row>
    <row r="257" ht="15">
      <c r="B257" s="8" t="s">
        <v>537</v>
      </c>
      <c r="C257" s="9" t="s">
        <v>525</v>
      </c>
      <c r="D257" s="9" t="s">
        <v>15</v>
      </c>
      <c r="E257" s="9" t="s">
        <v>538</v>
      </c>
      <c r="F257" s="8" t="s">
        <v>27</v>
      </c>
    </row>
    <row r="258" ht="15">
      <c r="B258" s="8" t="s">
        <v>539</v>
      </c>
      <c r="C258" s="9" t="s">
        <v>540</v>
      </c>
      <c r="D258" s="9" t="s">
        <v>15</v>
      </c>
      <c r="E258" s="9" t="s">
        <v>541</v>
      </c>
      <c r="F258" s="8" t="s">
        <v>125</v>
      </c>
    </row>
    <row r="259" ht="23.850000000000001">
      <c r="B259" s="8" t="s">
        <v>542</v>
      </c>
      <c r="C259" s="9" t="s">
        <v>540</v>
      </c>
      <c r="D259" s="9" t="s">
        <v>15</v>
      </c>
      <c r="E259" s="9" t="s">
        <v>543</v>
      </c>
      <c r="F259" s="8" t="s">
        <v>125</v>
      </c>
    </row>
    <row r="260" ht="23.850000000000001">
      <c r="B260" s="8" t="s">
        <v>544</v>
      </c>
      <c r="C260" s="9" t="s">
        <v>540</v>
      </c>
      <c r="D260" s="9" t="s">
        <v>15</v>
      </c>
      <c r="E260" s="9" t="s">
        <v>545</v>
      </c>
      <c r="F260" s="8" t="s">
        <v>125</v>
      </c>
    </row>
    <row r="261" ht="15">
      <c r="B261" s="8" t="s">
        <v>546</v>
      </c>
      <c r="C261" s="9" t="s">
        <v>540</v>
      </c>
      <c r="D261" s="9" t="s">
        <v>15</v>
      </c>
      <c r="E261" s="9" t="s">
        <v>547</v>
      </c>
      <c r="F261" s="8" t="s">
        <v>125</v>
      </c>
    </row>
    <row r="262" ht="15">
      <c r="B262" s="8" t="s">
        <v>548</v>
      </c>
      <c r="C262" s="9" t="s">
        <v>540</v>
      </c>
      <c r="D262" s="9" t="s">
        <v>15</v>
      </c>
      <c r="E262" s="9" t="s">
        <v>549</v>
      </c>
      <c r="F262" s="8" t="s">
        <v>125</v>
      </c>
    </row>
    <row r="263" ht="23.850000000000001">
      <c r="B263" s="8" t="s">
        <v>550</v>
      </c>
      <c r="C263" s="9" t="s">
        <v>540</v>
      </c>
      <c r="D263" s="9" t="s">
        <v>15</v>
      </c>
      <c r="E263" s="9" t="s">
        <v>551</v>
      </c>
      <c r="F263" s="8" t="s">
        <v>125</v>
      </c>
    </row>
    <row r="264" ht="23.850000000000001">
      <c r="B264" s="8" t="s">
        <v>552</v>
      </c>
      <c r="C264" s="9" t="s">
        <v>540</v>
      </c>
      <c r="D264" s="9" t="s">
        <v>15</v>
      </c>
      <c r="E264" s="9" t="s">
        <v>553</v>
      </c>
      <c r="F264" s="8" t="s">
        <v>125</v>
      </c>
    </row>
    <row r="265" ht="15">
      <c r="B265" s="8" t="s">
        <v>554</v>
      </c>
      <c r="C265" s="9" t="s">
        <v>540</v>
      </c>
      <c r="D265" s="9" t="s">
        <v>15</v>
      </c>
      <c r="E265" s="9" t="s">
        <v>555</v>
      </c>
      <c r="F265" s="8" t="s">
        <v>27</v>
      </c>
    </row>
    <row r="266" ht="23.850000000000001">
      <c r="B266" s="8" t="s">
        <v>556</v>
      </c>
      <c r="C266" s="9" t="s">
        <v>557</v>
      </c>
      <c r="D266" s="9" t="s">
        <v>15</v>
      </c>
      <c r="E266" s="9" t="s">
        <v>558</v>
      </c>
      <c r="F266" s="8" t="s">
        <v>559</v>
      </c>
    </row>
    <row r="267" ht="23.850000000000001">
      <c r="B267" s="8" t="s">
        <v>560</v>
      </c>
      <c r="C267" s="9" t="s">
        <v>557</v>
      </c>
      <c r="D267" s="9" t="s">
        <v>15</v>
      </c>
      <c r="E267" s="9" t="s">
        <v>561</v>
      </c>
      <c r="F267" s="8" t="s">
        <v>180</v>
      </c>
    </row>
    <row r="268" ht="23.850000000000001">
      <c r="B268" s="8" t="s">
        <v>562</v>
      </c>
      <c r="C268" s="9" t="s">
        <v>557</v>
      </c>
      <c r="D268" s="9" t="s">
        <v>15</v>
      </c>
      <c r="E268" s="9" t="s">
        <v>563</v>
      </c>
      <c r="F268" s="8" t="s">
        <v>27</v>
      </c>
    </row>
    <row r="269" ht="23.850000000000001">
      <c r="B269" s="8" t="s">
        <v>564</v>
      </c>
      <c r="C269" s="9" t="s">
        <v>557</v>
      </c>
      <c r="D269" s="9" t="s">
        <v>15</v>
      </c>
      <c r="E269" s="9" t="s">
        <v>565</v>
      </c>
      <c r="F269" s="8" t="s">
        <v>559</v>
      </c>
    </row>
    <row r="270" ht="23.850000000000001">
      <c r="B270" s="8" t="s">
        <v>566</v>
      </c>
      <c r="C270" s="9" t="s">
        <v>557</v>
      </c>
      <c r="D270" s="9" t="s">
        <v>15</v>
      </c>
      <c r="E270" s="9" t="s">
        <v>567</v>
      </c>
      <c r="F270" s="8" t="s">
        <v>559</v>
      </c>
    </row>
    <row r="271" ht="23.850000000000001">
      <c r="B271" s="8" t="s">
        <v>568</v>
      </c>
      <c r="C271" s="9" t="s">
        <v>557</v>
      </c>
      <c r="D271" s="9" t="s">
        <v>15</v>
      </c>
      <c r="E271" s="9" t="s">
        <v>569</v>
      </c>
      <c r="F271" s="8" t="s">
        <v>27</v>
      </c>
    </row>
    <row r="272" ht="23.850000000000001">
      <c r="B272" s="8" t="s">
        <v>570</v>
      </c>
      <c r="C272" s="9" t="s">
        <v>557</v>
      </c>
      <c r="D272" s="9" t="s">
        <v>15</v>
      </c>
      <c r="E272" s="9" t="s">
        <v>571</v>
      </c>
      <c r="F272" s="8" t="s">
        <v>27</v>
      </c>
    </row>
    <row r="273" ht="23.850000000000001">
      <c r="B273" s="8" t="s">
        <v>572</v>
      </c>
      <c r="C273" s="9" t="s">
        <v>557</v>
      </c>
      <c r="D273" s="9" t="s">
        <v>15</v>
      </c>
      <c r="E273" s="9" t="s">
        <v>573</v>
      </c>
      <c r="F273" s="8" t="s">
        <v>180</v>
      </c>
    </row>
    <row r="274" ht="15">
      <c r="B274" s="8" t="s">
        <v>574</v>
      </c>
      <c r="C274" s="9" t="s">
        <v>557</v>
      </c>
      <c r="D274" s="9" t="s">
        <v>15</v>
      </c>
      <c r="E274" s="9" t="s">
        <v>575</v>
      </c>
      <c r="F274" s="8" t="s">
        <v>180</v>
      </c>
    </row>
    <row r="275" ht="23.850000000000001">
      <c r="B275" s="8" t="s">
        <v>576</v>
      </c>
      <c r="C275" s="9" t="s">
        <v>557</v>
      </c>
      <c r="D275" s="9" t="s">
        <v>15</v>
      </c>
      <c r="E275" s="9" t="s">
        <v>577</v>
      </c>
      <c r="F275" s="8" t="s">
        <v>578</v>
      </c>
    </row>
    <row r="276" ht="23.850000000000001">
      <c r="B276" s="8" t="s">
        <v>579</v>
      </c>
      <c r="C276" s="9" t="s">
        <v>557</v>
      </c>
      <c r="D276" s="9" t="s">
        <v>15</v>
      </c>
      <c r="E276" s="9" t="s">
        <v>580</v>
      </c>
      <c r="F276" s="8" t="s">
        <v>27</v>
      </c>
    </row>
    <row r="277" ht="15">
      <c r="B277" s="8" t="s">
        <v>581</v>
      </c>
      <c r="C277" s="9" t="s">
        <v>557</v>
      </c>
      <c r="D277" s="9" t="s">
        <v>15</v>
      </c>
      <c r="E277" s="9" t="s">
        <v>582</v>
      </c>
      <c r="F277" s="8" t="s">
        <v>27</v>
      </c>
    </row>
    <row r="278" ht="23.850000000000001">
      <c r="B278" s="8" t="s">
        <v>583</v>
      </c>
      <c r="C278" s="9" t="s">
        <v>584</v>
      </c>
      <c r="D278" s="9" t="s">
        <v>15</v>
      </c>
      <c r="E278" s="9" t="s">
        <v>585</v>
      </c>
      <c r="F278" s="8" t="s">
        <v>180</v>
      </c>
    </row>
    <row r="279" ht="23.850000000000001">
      <c r="B279" s="8" t="s">
        <v>586</v>
      </c>
      <c r="C279" s="9" t="s">
        <v>584</v>
      </c>
      <c r="D279" s="9" t="s">
        <v>15</v>
      </c>
      <c r="E279" s="9" t="s">
        <v>587</v>
      </c>
      <c r="F279" s="8" t="s">
        <v>125</v>
      </c>
    </row>
    <row r="280" ht="23.850000000000001">
      <c r="B280" s="8" t="s">
        <v>588</v>
      </c>
      <c r="C280" s="9" t="s">
        <v>584</v>
      </c>
      <c r="D280" s="9" t="s">
        <v>15</v>
      </c>
      <c r="E280" s="9" t="s">
        <v>589</v>
      </c>
      <c r="F280" s="8" t="s">
        <v>180</v>
      </c>
    </row>
    <row r="281" ht="23.850000000000001">
      <c r="B281" s="8" t="s">
        <v>590</v>
      </c>
      <c r="C281" s="9" t="s">
        <v>584</v>
      </c>
      <c r="D281" s="9" t="s">
        <v>15</v>
      </c>
      <c r="E281" s="9" t="s">
        <v>591</v>
      </c>
      <c r="F281" s="8" t="s">
        <v>180</v>
      </c>
    </row>
    <row r="282" ht="23.850000000000001">
      <c r="B282" s="8" t="s">
        <v>592</v>
      </c>
      <c r="C282" s="9" t="s">
        <v>584</v>
      </c>
      <c r="D282" s="9" t="s">
        <v>15</v>
      </c>
      <c r="E282" s="9" t="s">
        <v>593</v>
      </c>
      <c r="F282" s="8" t="s">
        <v>180</v>
      </c>
    </row>
    <row r="283" ht="23.850000000000001">
      <c r="B283" s="8" t="s">
        <v>594</v>
      </c>
      <c r="C283" s="9" t="s">
        <v>584</v>
      </c>
      <c r="D283" s="9" t="s">
        <v>15</v>
      </c>
      <c r="E283" s="9" t="s">
        <v>595</v>
      </c>
      <c r="F283" s="8" t="s">
        <v>27</v>
      </c>
    </row>
    <row r="284" ht="23.850000000000001">
      <c r="B284" s="8" t="s">
        <v>596</v>
      </c>
      <c r="C284" s="9" t="s">
        <v>584</v>
      </c>
      <c r="D284" s="9" t="s">
        <v>15</v>
      </c>
      <c r="E284" s="9" t="s">
        <v>597</v>
      </c>
      <c r="F284" s="8" t="s">
        <v>180</v>
      </c>
    </row>
    <row r="285" ht="23.850000000000001">
      <c r="B285" s="8" t="s">
        <v>598</v>
      </c>
      <c r="C285" s="9" t="s">
        <v>584</v>
      </c>
      <c r="D285" s="9" t="s">
        <v>15</v>
      </c>
      <c r="E285" s="9" t="s">
        <v>599</v>
      </c>
      <c r="F285" s="8" t="s">
        <v>180</v>
      </c>
    </row>
    <row r="286" ht="23.850000000000001">
      <c r="B286" s="8" t="s">
        <v>600</v>
      </c>
      <c r="C286" s="9" t="s">
        <v>584</v>
      </c>
      <c r="D286" s="9" t="s">
        <v>15</v>
      </c>
      <c r="E286" s="9" t="s">
        <v>601</v>
      </c>
      <c r="F286" s="8" t="s">
        <v>27</v>
      </c>
    </row>
    <row r="287" ht="23.850000000000001">
      <c r="B287" s="8" t="s">
        <v>602</v>
      </c>
      <c r="C287" s="9" t="s">
        <v>584</v>
      </c>
      <c r="D287" s="9" t="s">
        <v>15</v>
      </c>
      <c r="E287" s="9" t="s">
        <v>603</v>
      </c>
      <c r="F287" s="8" t="s">
        <v>27</v>
      </c>
    </row>
    <row r="288" ht="23.850000000000001">
      <c r="B288" s="8" t="s">
        <v>604</v>
      </c>
      <c r="C288" s="9" t="s">
        <v>584</v>
      </c>
      <c r="D288" s="9" t="s">
        <v>15</v>
      </c>
      <c r="E288" s="9" t="s">
        <v>605</v>
      </c>
      <c r="F288" s="8" t="s">
        <v>27</v>
      </c>
    </row>
    <row r="289" ht="23.850000000000001">
      <c r="B289" s="8" t="s">
        <v>606</v>
      </c>
      <c r="C289" s="9" t="s">
        <v>584</v>
      </c>
      <c r="D289" s="9" t="s">
        <v>15</v>
      </c>
      <c r="E289" s="9" t="s">
        <v>607</v>
      </c>
      <c r="F289" s="8" t="s">
        <v>27</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1" activeCellId="0" sqref="A1"/>
    </sheetView>
  </sheetViews>
  <sheetFormatPr defaultColWidth="8.6796875" defaultRowHeight="15"/>
  <cols>
    <col customWidth="1" min="1" max="1" style="0" width="42"/>
    <col customWidth="1" min="2" max="2" style="0" width="11"/>
    <col customWidth="1" min="3" max="3" style="0" width="12"/>
    <col customWidth="1" min="4" max="4" style="0" width="3"/>
    <col customWidth="1" min="5" max="5" style="0" width="10"/>
    <col customWidth="1" min="6" max="6" style="0" width="16"/>
    <col customWidth="1" min="7" max="7" style="0" width="24"/>
  </cols>
  <sheetData>
    <row r="1" ht="17.350000000000001">
      <c r="A1" s="1" t="s">
        <v>608</v>
      </c>
    </row>
    <row r="3" ht="39.549999999999997">
      <c r="A3" s="10" t="s">
        <v>9</v>
      </c>
      <c r="B3" s="10" t="s">
        <v>609</v>
      </c>
      <c r="C3" s="10" t="s">
        <v>610</v>
      </c>
      <c r="E3" s="11" t="s">
        <v>12</v>
      </c>
      <c r="F3" s="11" t="s">
        <v>611</v>
      </c>
    </row>
    <row r="4" ht="15">
      <c r="A4" s="12" t="s">
        <v>14</v>
      </c>
      <c r="B4" s="12">
        <f>COUNTIF(Requerimientos!$C$14:$C$289,A4)</f>
        <v>9</v>
      </c>
      <c r="C4" s="13">
        <f t="shared" ref="C4:C9" si="0">IFERROR(B4/$B$23,0)</f>
        <v>3.2608695652173912e-02</v>
      </c>
      <c r="E4" s="12" t="s">
        <v>125</v>
      </c>
      <c r="F4" s="12">
        <f>COUNTIF(Requerimientos!$F$14:$F$289,"*"&amp;E4&amp;"*")</f>
        <v>53</v>
      </c>
      <c r="G4" s="12" t="s">
        <v>612</v>
      </c>
    </row>
    <row r="5" ht="15">
      <c r="A5" s="12" t="s">
        <v>37</v>
      </c>
      <c r="B5" s="12">
        <f>COUNTIF(Requerimientos!$C$14:$C$289,A5)</f>
        <v>24</v>
      </c>
      <c r="C5" s="13">
        <f t="shared" si="0"/>
        <v>8.6956521739130432e-02</v>
      </c>
      <c r="E5" s="12" t="s">
        <v>613</v>
      </c>
      <c r="F5" s="12">
        <f>COUNTIF(Requerimientos!$F$14:$F$289,"*"&amp;E5&amp;"*")</f>
        <v>37</v>
      </c>
      <c r="G5" s="12" t="s">
        <v>614</v>
      </c>
    </row>
    <row r="6" ht="15">
      <c r="A6" s="12" t="s">
        <v>86</v>
      </c>
      <c r="B6" s="12">
        <f>COUNTIF(Requerimientos!$C$14:$C$289,A6)</f>
        <v>18</v>
      </c>
      <c r="C6" s="13">
        <f t="shared" si="0"/>
        <v>6.5217391304347824e-02</v>
      </c>
      <c r="E6" s="12" t="s">
        <v>350</v>
      </c>
      <c r="F6" s="12">
        <f>COUNTIF(Requerimientos!$F$14:$F$289,"*"&amp;E6&amp;"*")</f>
        <v>3</v>
      </c>
      <c r="G6" s="12" t="s">
        <v>615</v>
      </c>
    </row>
    <row r="7" ht="15">
      <c r="A7" s="12" t="s">
        <v>123</v>
      </c>
      <c r="B7" s="12">
        <f>COUNTIF(Requerimientos!$C$14:$C$289,A7)</f>
        <v>9</v>
      </c>
      <c r="C7" s="13">
        <f t="shared" si="0"/>
        <v>3.2608695652173912e-02</v>
      </c>
      <c r="E7" s="12" t="s">
        <v>180</v>
      </c>
      <c r="F7" s="12">
        <f>COUNTIF(Requerimientos!$F$14:$F$289,"*"&amp;E7&amp;"*")</f>
        <v>80</v>
      </c>
      <c r="G7" s="12" t="s">
        <v>616</v>
      </c>
    </row>
    <row r="8" ht="15">
      <c r="A8" s="12" t="s">
        <v>143</v>
      </c>
      <c r="B8" s="12">
        <f>COUNTIF(Requerimientos!$C$14:$C$289,A8)</f>
        <v>24</v>
      </c>
      <c r="C8" s="13">
        <f t="shared" si="0"/>
        <v>8.6956521739130432e-02</v>
      </c>
      <c r="E8" s="12" t="s">
        <v>17</v>
      </c>
      <c r="F8" s="12">
        <f>COUNTIF(Requerimientos!$F$14:$F$289,"*"&amp;E8&amp;"*")</f>
        <v>29</v>
      </c>
      <c r="G8" s="12" t="s">
        <v>617</v>
      </c>
    </row>
    <row r="9" ht="15">
      <c r="A9" s="12" t="s">
        <v>198</v>
      </c>
      <c r="B9" s="12">
        <f>COUNTIF(Requerimientos!$C$14:$C$289,A9)</f>
        <v>10</v>
      </c>
      <c r="C9" s="13">
        <f t="shared" si="0"/>
        <v>3.6231884057971016e-02</v>
      </c>
      <c r="E9" s="12" t="s">
        <v>578</v>
      </c>
      <c r="F9" s="12">
        <f>COUNTIF(Requerimientos!$F$14:$F$289,"*"&amp;E9&amp;"*")</f>
        <v>4</v>
      </c>
      <c r="G9" s="12" t="s">
        <v>618</v>
      </c>
    </row>
    <row r="10" ht="15">
      <c r="A10" s="12" t="s">
        <v>219</v>
      </c>
      <c r="B10" s="12">
        <f>COUNTIF(Requerimientos!$C$14:$C$289,A10)</f>
        <v>36</v>
      </c>
      <c r="C10" s="13">
        <f t="shared" ref="C10:C22" si="1">IFERROR(B10/$B$23,0)</f>
        <v>0.13043478260869565</v>
      </c>
      <c r="E10" s="12" t="s">
        <v>27</v>
      </c>
      <c r="F10" s="12">
        <f>COUNTIF(Requerimientos!$F$14:$F$289,"*"&amp;E10&amp;"*")</f>
        <v>113</v>
      </c>
      <c r="G10" s="12" t="s">
        <v>619</v>
      </c>
    </row>
    <row r="11" ht="15">
      <c r="A11" s="12" t="s">
        <v>297</v>
      </c>
      <c r="B11" s="12">
        <f>COUNTIF(Requerimientos!$C$14:$C$289,A11)</f>
        <v>15</v>
      </c>
      <c r="C11" s="13">
        <f t="shared" si="1"/>
        <v>5.434782608695652e-02</v>
      </c>
    </row>
    <row r="12" ht="15" customHeight="1">
      <c r="A12" s="12" t="s">
        <v>328</v>
      </c>
      <c r="B12" s="12">
        <f>COUNTIF(Requerimientos!$C$14:$C$289,A12)</f>
        <v>13</v>
      </c>
      <c r="C12" s="13">
        <f t="shared" si="1"/>
        <v>4.710144927536232e-02</v>
      </c>
      <c r="E12" s="14" t="s">
        <v>620</v>
      </c>
      <c r="F12" s="14"/>
      <c r="G12" s="14"/>
    </row>
    <row r="13" ht="15">
      <c r="A13" s="12" t="s">
        <v>356</v>
      </c>
      <c r="B13" s="12">
        <f>COUNTIF(Requerimientos!$C$14:$C$289,A13)</f>
        <v>27</v>
      </c>
      <c r="C13" s="13">
        <f t="shared" si="1"/>
        <v>9.7826086956521743e-02</v>
      </c>
      <c r="E13" s="14"/>
      <c r="F13" s="14"/>
      <c r="G13" s="14"/>
    </row>
    <row r="14" ht="15">
      <c r="A14" s="12" t="s">
        <v>415</v>
      </c>
      <c r="B14" s="12">
        <f>COUNTIF(Requerimientos!$C$14:$C$289,A14)</f>
        <v>12</v>
      </c>
      <c r="C14" s="13">
        <f t="shared" si="1"/>
        <v>4.3478260869565216e-02</v>
      </c>
      <c r="E14" s="14"/>
      <c r="F14" s="14"/>
      <c r="G14" s="14"/>
    </row>
    <row r="15" ht="15">
      <c r="A15" s="12" t="s">
        <v>441</v>
      </c>
      <c r="B15" s="12">
        <f>COUNTIF(Requerimientos!$C$14:$C$289,A15)</f>
        <v>7</v>
      </c>
      <c r="C15" s="13">
        <f t="shared" si="1"/>
        <v>2.5362318840579712e-02</v>
      </c>
    </row>
    <row r="16" ht="15">
      <c r="A16" s="12" t="s">
        <v>456</v>
      </c>
      <c r="B16" s="12">
        <f>COUNTIF(Requerimientos!$C$14:$C$289,A16)</f>
        <v>8</v>
      </c>
      <c r="C16" s="13">
        <f t="shared" si="1"/>
        <v>2.8985507246376812e-02</v>
      </c>
    </row>
    <row r="17" ht="15">
      <c r="A17" s="12" t="s">
        <v>473</v>
      </c>
      <c r="B17" s="12">
        <f>COUNTIF(Requerimientos!$C$14:$C$289,A17)</f>
        <v>12</v>
      </c>
      <c r="C17" s="13">
        <f t="shared" si="1"/>
        <v>4.3478260869565216e-02</v>
      </c>
    </row>
    <row r="18" ht="15">
      <c r="A18" s="12" t="s">
        <v>498</v>
      </c>
      <c r="B18" s="12">
        <f>COUNTIF(Requerimientos!$C$14:$C$289,A18)</f>
        <v>13</v>
      </c>
      <c r="C18" s="13">
        <f t="shared" si="1"/>
        <v>4.710144927536232e-02</v>
      </c>
    </row>
    <row r="19" ht="15">
      <c r="A19" s="12" t="s">
        <v>525</v>
      </c>
      <c r="B19" s="12">
        <f>COUNTIF(Requerimientos!$C$14:$C$289,A19)</f>
        <v>7</v>
      </c>
      <c r="C19" s="13">
        <f t="shared" si="1"/>
        <v>2.5362318840579712e-02</v>
      </c>
    </row>
    <row r="20" ht="15">
      <c r="A20" s="12" t="s">
        <v>540</v>
      </c>
      <c r="B20" s="12">
        <f>COUNTIF(Requerimientos!$C$14:$C$289,A20)</f>
        <v>8</v>
      </c>
      <c r="C20" s="13">
        <f t="shared" si="1"/>
        <v>2.8985507246376812e-02</v>
      </c>
    </row>
    <row r="21" ht="15">
      <c r="A21" s="12" t="s">
        <v>557</v>
      </c>
      <c r="B21" s="12">
        <f>COUNTIF(Requerimientos!$C$14:$C$289,A21)</f>
        <v>12</v>
      </c>
      <c r="C21" s="13">
        <f t="shared" si="1"/>
        <v>4.3478260869565216e-02</v>
      </c>
    </row>
    <row r="22" ht="15">
      <c r="A22" s="12" t="s">
        <v>584</v>
      </c>
      <c r="B22" s="12">
        <f>COUNTIF(Requerimientos!$C$14:$C$289,A22)</f>
        <v>12</v>
      </c>
      <c r="C22" s="13">
        <f t="shared" si="1"/>
        <v>4.3478260869565216e-02</v>
      </c>
    </row>
    <row r="23" ht="15">
      <c r="A23" s="15" t="s">
        <v>621</v>
      </c>
      <c r="B23" s="15">
        <f>SUM(B4:B22)</f>
        <v>276</v>
      </c>
      <c r="C23" s="16">
        <f>IFERROR(B23/B23,0)</f>
        <v>1</v>
      </c>
    </row>
  </sheetData>
  <mergeCells count="1">
    <mergeCell ref="E12:G14"/>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1" activeCellId="0" sqref="A1"/>
    </sheetView>
  </sheetViews>
  <sheetFormatPr defaultColWidth="8.6796875" defaultRowHeight="15"/>
  <cols>
    <col customWidth="1" min="1" max="1" style="0" width="8"/>
    <col customWidth="1" min="2" max="2" style="0" width="20"/>
    <col customWidth="1" min="3" max="3" style="0" width="80"/>
  </cols>
  <sheetData>
    <row r="1" ht="15">
      <c r="A1" s="17" t="s">
        <v>622</v>
      </c>
      <c r="B1" s="17" t="s">
        <v>12</v>
      </c>
      <c r="C1" s="17" t="s">
        <v>623</v>
      </c>
    </row>
    <row r="2" ht="15">
      <c r="A2" s="18" t="s">
        <v>125</v>
      </c>
      <c r="B2" s="19" t="s">
        <v>612</v>
      </c>
      <c r="C2" s="19" t="s">
        <v>624</v>
      </c>
    </row>
    <row r="3" ht="15">
      <c r="A3" s="18" t="s">
        <v>613</v>
      </c>
      <c r="B3" s="19" t="s">
        <v>614</v>
      </c>
      <c r="C3" s="19" t="s">
        <v>625</v>
      </c>
    </row>
    <row r="4" ht="15">
      <c r="A4" s="18" t="s">
        <v>350</v>
      </c>
      <c r="B4" s="19" t="s">
        <v>615</v>
      </c>
      <c r="C4" s="19" t="s">
        <v>626</v>
      </c>
    </row>
    <row r="5" ht="15">
      <c r="A5" s="18" t="s">
        <v>17</v>
      </c>
      <c r="B5" s="19" t="s">
        <v>617</v>
      </c>
      <c r="C5" s="19" t="s">
        <v>627</v>
      </c>
    </row>
    <row r="6" ht="15">
      <c r="A6" s="18" t="s">
        <v>578</v>
      </c>
      <c r="B6" s="19" t="s">
        <v>618</v>
      </c>
      <c r="C6" s="19" t="s">
        <v>628</v>
      </c>
    </row>
    <row r="7" ht="15">
      <c r="A7" s="18" t="s">
        <v>27</v>
      </c>
      <c r="B7" s="19" t="s">
        <v>619</v>
      </c>
      <c r="C7" s="19" t="s">
        <v>629</v>
      </c>
    </row>
    <row r="9" ht="15">
      <c r="A9" s="20" t="s">
        <v>630</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1</cp:revision>
  <dcterms:created xsi:type="dcterms:W3CDTF">2026-10-06T05:23:02Z</dcterms:created>
  <dcterms:modified xsi:type="dcterms:W3CDTF">2026-10-06T05:45:16Z</dcterms:modified>
</cp:coreProperties>
</file>